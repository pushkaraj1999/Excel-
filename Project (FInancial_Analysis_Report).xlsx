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96"/>
  </bookViews>
  <sheets>
    <sheet name="Project Workshee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<sst xmlns="http://schemas.openxmlformats.org/spreadsheetml/2006/main" count="104" uniqueCount="53">
  <si>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Annuity</t>
  </si>
  <si>
    <t>Price</t>
  </si>
  <si>
    <t>Interest Rate</t>
  </si>
  <si>
    <t>No. of payments</t>
  </si>
  <si>
    <t>Payment</t>
  </si>
  <si>
    <t>Payments at end of the year</t>
  </si>
  <si>
    <t>Payments at begining of the year</t>
  </si>
  <si>
    <t>PV</t>
  </si>
  <si>
    <t>EMI</t>
  </si>
  <si>
    <t>Rate per annum</t>
  </si>
  <si>
    <t>Rate per month</t>
  </si>
  <si>
    <t>Term</t>
  </si>
  <si>
    <t>No. of monthly payments</t>
  </si>
  <si>
    <t>Loan Amount (PV)</t>
  </si>
  <si>
    <t>FV</t>
  </si>
  <si>
    <t>Type</t>
  </si>
  <si>
    <t xml:space="preserve"> </t>
  </si>
  <si>
    <t>Interest paid between 2nd and 3rd months</t>
  </si>
  <si>
    <t>No. of monthly payment</t>
  </si>
  <si>
    <t>Principal paid between 2nd and 3rd months</t>
  </si>
  <si>
    <t>Month</t>
  </si>
  <si>
    <t>Beginning Balance</t>
  </si>
  <si>
    <t>Interest</t>
  </si>
  <si>
    <t>Principal</t>
  </si>
  <si>
    <t>Ending Balance</t>
  </si>
  <si>
    <t>Loan Amount</t>
  </si>
  <si>
    <t>No.of monthly payment</t>
  </si>
  <si>
    <t>Term Loan</t>
  </si>
  <si>
    <t>Decision on Investments</t>
  </si>
  <si>
    <t>Cash Flow</t>
  </si>
  <si>
    <t>Time</t>
  </si>
  <si>
    <t>Investement 1</t>
  </si>
  <si>
    <t>Investement 2</t>
  </si>
  <si>
    <t>Total</t>
  </si>
  <si>
    <t>NPV (End Year)</t>
  </si>
  <si>
    <t>NPV (Beginning Year)</t>
  </si>
  <si>
    <t>NPV (Middle Year)</t>
  </si>
  <si>
    <t>Date</t>
  </si>
  <si>
    <t>NPV</t>
  </si>
  <si>
    <t>IRR</t>
  </si>
  <si>
    <t>Cash Flows</t>
  </si>
  <si>
    <t>Guess</t>
  </si>
  <si>
    <t>Year</t>
  </si>
  <si>
    <t>Project A</t>
  </si>
  <si>
    <t>Project B</t>
  </si>
  <si>
    <t>8/15/2015</t>
  </si>
  <si>
    <t>3/15/2016</t>
  </si>
  <si>
    <t>4/25/2016</t>
  </si>
  <si>
    <t>XIRR</t>
  </si>
  <si>
    <t>Finance rate</t>
  </si>
  <si>
    <t>Reinvestment Rate</t>
  </si>
  <si>
    <t>Discount</t>
  </si>
  <si>
    <t>MIRR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</si>
</sst>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;[Red]&quot;₹&quot;\ \-#,##0"/>
    <numFmt numFmtId="181" formatCode="&quot;₹&quot;\ #,##0.00;[Red]&quot;₹&quot;\ \-#,##0.00"/>
    <numFmt numFmtId="182" formatCode="&quot;₹&quot;#,##0.00_);[Red]\(&quot;₹&quot;#,##0.00\)"/>
    <numFmt numFmtId="183" formatCode="dd\/mmm\/yyyy"/>
    <numFmt numFmtId="184" formatCode="d\/m\/yyyy"/>
    <numFmt numFmtId="185" formatCode="[$$-45C]#,##0.00"/>
  </numFmts>
  <fonts count="25">
    <font>
      <sz val="11"/>
      <color theme="1"/>
      <name val="Calibri"/>
      <charset val="134"/>
      <scheme val="minor"/>
    </font>
    <font>
      <b/>
      <sz val="12"/>
      <color rgb="FFFFFF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sz val="11"/>
      <color rgb="FFFFFF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7" applyNumberFormat="0" applyFill="0" applyAlignment="0" applyProtection="0">
      <alignment vertical="center"/>
    </xf>
    <xf numFmtId="0" fontId="12" fillId="0" borderId="37" applyNumberFormat="0" applyFill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39" applyNumberFormat="0" applyAlignment="0" applyProtection="0">
      <alignment vertical="center"/>
    </xf>
    <xf numFmtId="0" fontId="15" fillId="5" borderId="40" applyNumberFormat="0" applyAlignment="0" applyProtection="0">
      <alignment vertical="center"/>
    </xf>
    <xf numFmtId="0" fontId="16" fillId="5" borderId="39" applyNumberFormat="0" applyAlignment="0" applyProtection="0">
      <alignment vertical="center"/>
    </xf>
    <xf numFmtId="0" fontId="17" fillId="6" borderId="41" applyNumberFormat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/>
    <xf numFmtId="180" fontId="3" fillId="2" borderId="5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81" fontId="3" fillId="2" borderId="5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182" fontId="0" fillId="0" borderId="4" xfId="0" applyNumberFormat="1" applyBorder="1" applyAlignment="1">
      <alignment horizontal="center"/>
    </xf>
    <xf numFmtId="182" fontId="0" fillId="0" borderId="7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182" fontId="3" fillId="2" borderId="5" xfId="0" applyNumberFormat="1" applyFont="1" applyFill="1" applyBorder="1" applyAlignment="1">
      <alignment horizontal="center"/>
    </xf>
    <xf numFmtId="182" fontId="0" fillId="0" borderId="5" xfId="0" applyNumberForma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81" fontId="0" fillId="0" borderId="4" xfId="0" applyNumberFormat="1" applyBorder="1" applyAlignment="1">
      <alignment horizontal="center"/>
    </xf>
    <xf numFmtId="181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81" fontId="0" fillId="0" borderId="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81" fontId="0" fillId="0" borderId="15" xfId="0" applyNumberFormat="1" applyBorder="1" applyAlignment="1">
      <alignment horizontal="center"/>
    </xf>
    <xf numFmtId="182" fontId="0" fillId="0" borderId="12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83" fontId="0" fillId="0" borderId="13" xfId="0" applyNumberFormat="1" applyBorder="1" applyAlignment="1">
      <alignment horizontal="center"/>
    </xf>
    <xf numFmtId="183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83" fontId="0" fillId="0" borderId="14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83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183" fontId="0" fillId="0" borderId="14" xfId="0" applyNumberForma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81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3" fillId="2" borderId="1" xfId="0" applyFont="1" applyFill="1" applyBorder="1"/>
    <xf numFmtId="0" fontId="3" fillId="2" borderId="10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0" fontId="0" fillId="0" borderId="32" xfId="0" applyNumberFormat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184" fontId="0" fillId="0" borderId="5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81" fontId="0" fillId="0" borderId="9" xfId="0" applyNumberFormat="1" applyBorder="1" applyAlignment="1">
      <alignment horizontal="center"/>
    </xf>
    <xf numFmtId="181" fontId="0" fillId="0" borderId="10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185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showGridLines="0" tabSelected="1" topLeftCell="A84" workbookViewId="0">
      <selection activeCell="B136" sqref="B136"/>
    </sheetView>
  </sheetViews>
  <sheetFormatPr defaultColWidth="9" defaultRowHeight="14.4"/>
  <cols>
    <col min="1" max="1" width="20.712962962963" customWidth="1"/>
    <col min="2" max="2" width="15.712962962963" customWidth="1"/>
    <col min="3" max="3" width="14.712962962963" customWidth="1"/>
    <col min="4" max="4" width="38.287037037037" customWidth="1"/>
    <col min="5" max="5" width="12" customWidth="1"/>
    <col min="6" max="6" width="15.712962962963" customWidth="1"/>
  </cols>
  <sheetData>
    <row r="1" ht="16.35" spans="1:6">
      <c r="A1" s="1" t="s">
        <v>0</v>
      </c>
      <c r="B1" s="2"/>
      <c r="C1" s="2"/>
      <c r="D1" s="2"/>
      <c r="E1" s="3"/>
    </row>
    <row r="2" spans="1:6">
      <c r="A2" s="4" t="s">
        <v>1</v>
      </c>
      <c r="B2" s="5">
        <v>32000</v>
      </c>
      <c r="C2" s="6"/>
      <c r="D2" s="4" t="s">
        <v>1</v>
      </c>
      <c r="E2" s="5">
        <v>32000</v>
      </c>
    </row>
    <row r="3" spans="1:6">
      <c r="A3" s="7" t="s">
        <v>2</v>
      </c>
      <c r="B3" s="8">
        <v>0.13</v>
      </c>
      <c r="C3" s="6"/>
      <c r="D3" s="7" t="s">
        <v>2</v>
      </c>
      <c r="E3" s="8">
        <v>0.13</v>
      </c>
    </row>
    <row r="4" spans="1:6">
      <c r="A4" s="7" t="s">
        <v>3</v>
      </c>
      <c r="B4" s="8">
        <v>8</v>
      </c>
      <c r="C4" s="6"/>
      <c r="D4" s="7" t="s">
        <v>3</v>
      </c>
      <c r="E4" s="8">
        <v>8</v>
      </c>
    </row>
    <row r="5" spans="1:6">
      <c r="A5" s="7" t="s">
        <v>4</v>
      </c>
      <c r="B5" s="8">
        <v>-6000</v>
      </c>
      <c r="C5" s="6"/>
      <c r="D5" s="7" t="s">
        <v>4</v>
      </c>
      <c r="E5" s="8">
        <v>-6000</v>
      </c>
    </row>
    <row r="6" spans="1:6">
      <c r="A6" s="7" t="s">
        <v>5</v>
      </c>
      <c r="B6" s="7"/>
      <c r="C6" s="9"/>
      <c r="D6" s="7" t="s">
        <v>6</v>
      </c>
      <c r="E6" s="7"/>
    </row>
    <row r="7" spans="1:6">
      <c r="A7" s="7" t="s">
        <v>7</v>
      </c>
      <c r="B7" s="10">
        <f>PV(B3,B4,B5)</f>
        <v>28792.6217666654</v>
      </c>
      <c r="C7" s="6"/>
      <c r="D7" s="7" t="s">
        <v>7</v>
      </c>
      <c r="E7" s="10">
        <f>PV(E3,E4,E5,,1)</f>
        <v>32535.6625963319</v>
      </c>
    </row>
    <row r="8" ht="15.15"/>
    <row r="9" ht="18.75" spans="1:6">
      <c r="A9" s="11" t="s">
        <v>8</v>
      </c>
      <c r="B9" s="12"/>
      <c r="C9" s="12"/>
      <c r="D9" s="12"/>
      <c r="E9" s="12"/>
      <c r="F9" s="13"/>
    </row>
    <row r="11" spans="1:6">
      <c r="A11" s="8" t="s">
        <v>9</v>
      </c>
      <c r="B11" s="8">
        <v>0.12</v>
      </c>
      <c r="D11" s="8" t="s">
        <v>9</v>
      </c>
      <c r="E11" s="8">
        <v>0.16</v>
      </c>
    </row>
    <row r="12" spans="1:6">
      <c r="A12" s="8" t="s">
        <v>10</v>
      </c>
      <c r="B12" s="8">
        <f>B11/12</f>
        <v>0.01</v>
      </c>
      <c r="D12" s="8" t="s">
        <v>10</v>
      </c>
      <c r="E12" s="8">
        <f>E11/12</f>
        <v>0.0133333333333333</v>
      </c>
    </row>
    <row r="13" spans="1:6">
      <c r="A13" s="8" t="s">
        <v>11</v>
      </c>
      <c r="B13" s="8">
        <v>25</v>
      </c>
      <c r="D13" s="8" t="s">
        <v>11</v>
      </c>
      <c r="E13" s="8">
        <v>8</v>
      </c>
    </row>
    <row r="14" spans="1:6">
      <c r="A14" s="8" t="s">
        <v>12</v>
      </c>
      <c r="B14" s="8">
        <f>B13*12</f>
        <v>300</v>
      </c>
      <c r="D14" s="8" t="s">
        <v>13</v>
      </c>
      <c r="E14" s="8">
        <v>-100000</v>
      </c>
    </row>
    <row r="15" spans="1:6">
      <c r="A15" s="8" t="s">
        <v>13</v>
      </c>
      <c r="B15" s="8">
        <v>-5000000</v>
      </c>
      <c r="D15" s="8" t="s">
        <v>14</v>
      </c>
      <c r="E15" s="8">
        <v>0</v>
      </c>
    </row>
    <row r="16" spans="1:6">
      <c r="A16" s="8" t="s">
        <v>14</v>
      </c>
      <c r="B16" s="8">
        <v>0</v>
      </c>
      <c r="D16" s="8" t="s">
        <v>15</v>
      </c>
      <c r="E16" s="8">
        <v>0</v>
      </c>
    </row>
    <row r="17" spans="1:9">
      <c r="A17" s="8" t="s">
        <v>15</v>
      </c>
      <c r="B17" s="8">
        <v>1</v>
      </c>
      <c r="D17" s="8" t="s">
        <v>8</v>
      </c>
      <c r="E17" s="14">
        <f>PMT(E12,E13,E14,0,0)</f>
        <v>13261.5873713305</v>
      </c>
    </row>
    <row r="18" spans="1:9">
      <c r="A18" s="8" t="s">
        <v>8</v>
      </c>
      <c r="B18" s="14">
        <f>PMT(B12,B14,B15,B16,1)</f>
        <v>52139.8090196845</v>
      </c>
      <c r="I18" t="s">
        <v>16</v>
      </c>
    </row>
    <row r="19" ht="15.15"/>
    <row r="20" ht="15.15" spans="1:9">
      <c r="A20" s="8" t="s">
        <v>10</v>
      </c>
      <c r="B20" s="8">
        <v>0.013</v>
      </c>
      <c r="D20" s="15" t="s">
        <v>17</v>
      </c>
    </row>
    <row r="21" spans="1:9">
      <c r="A21" s="8" t="s">
        <v>18</v>
      </c>
      <c r="B21" s="8">
        <v>8</v>
      </c>
      <c r="D21" s="16">
        <f>CUMIPMT(B20,B21,B22,2,3,0)</f>
        <v>-2132.23333746578</v>
      </c>
    </row>
    <row r="22" ht="15.15" spans="1:9">
      <c r="A22" s="8" t="s">
        <v>13</v>
      </c>
      <c r="B22" s="8">
        <v>100000</v>
      </c>
      <c r="D22" s="17">
        <f>D29+D30</f>
        <v>-2132.23333746582</v>
      </c>
    </row>
    <row r="23" ht="15.15" spans="1:9">
      <c r="A23" s="8" t="s">
        <v>14</v>
      </c>
      <c r="B23" s="8">
        <v>0</v>
      </c>
      <c r="D23" s="18" t="s">
        <v>19</v>
      </c>
    </row>
    <row r="24" spans="1:9">
      <c r="A24" s="8" t="s">
        <v>15</v>
      </c>
      <c r="B24" s="8">
        <v>0</v>
      </c>
      <c r="D24" s="16">
        <f>CUMPRINC(B20,B21,B22,2,3,0)</f>
        <v>-24352.3009898961</v>
      </c>
    </row>
    <row r="25" spans="1:9">
      <c r="A25" s="8" t="s">
        <v>8</v>
      </c>
      <c r="B25" s="19">
        <f>PMT(B20,B21,B22,B23,0)</f>
        <v>-13242.2671636809</v>
      </c>
      <c r="D25" s="20">
        <f>E29+E30</f>
        <v>24352.3009898961</v>
      </c>
    </row>
    <row r="26" ht="15.15"/>
    <row r="27" ht="15.15" spans="1:9">
      <c r="A27" s="21" t="s">
        <v>20</v>
      </c>
      <c r="B27" s="22" t="s">
        <v>21</v>
      </c>
      <c r="C27" s="22" t="s">
        <v>8</v>
      </c>
      <c r="D27" s="22" t="s">
        <v>22</v>
      </c>
      <c r="E27" s="22" t="s">
        <v>23</v>
      </c>
      <c r="F27" s="23" t="s">
        <v>24</v>
      </c>
    </row>
    <row r="28" spans="1:9">
      <c r="A28" s="24">
        <v>1</v>
      </c>
      <c r="B28" s="25">
        <f>B22</f>
        <v>100000</v>
      </c>
      <c r="C28" s="25">
        <f>-$B$25</f>
        <v>13242.2671636809</v>
      </c>
      <c r="D28" s="16">
        <f>IPMT($B$20,A28,$B$21,$B$22,,0)</f>
        <v>-1300</v>
      </c>
      <c r="E28" s="16">
        <f>PPMT($B$20,A28,$B$21,-$B$22,,0)</f>
        <v>11942.2671636809</v>
      </c>
      <c r="F28" s="26">
        <f>B28-E28</f>
        <v>88057.7328363191</v>
      </c>
    </row>
    <row r="29" spans="1:9">
      <c r="A29" s="27">
        <f>A28+1</f>
        <v>2</v>
      </c>
      <c r="B29" s="28">
        <f>F28</f>
        <v>88057.7328363191</v>
      </c>
      <c r="C29" s="28">
        <f t="shared" ref="C29:C35" si="0">-$B$25</f>
        <v>13242.2671636809</v>
      </c>
      <c r="D29" s="16">
        <f t="shared" ref="D29:D35" si="1">IPMT($B$20,A29,$B$21,$B$22,,0)</f>
        <v>-1144.75052687217</v>
      </c>
      <c r="E29" s="16">
        <f t="shared" ref="E29:E35" si="2">PPMT($B$20,A29,$B$21,-$B$22,,0)</f>
        <v>12097.5166368088</v>
      </c>
      <c r="F29" s="26">
        <f t="shared" ref="F29:F35" si="3">B29-E29</f>
        <v>75960.2161995103</v>
      </c>
    </row>
    <row r="30" spans="1:9">
      <c r="A30" s="27">
        <f t="shared" ref="A30:A35" si="4">A29+1</f>
        <v>3</v>
      </c>
      <c r="B30" s="28">
        <f t="shared" ref="B30:B35" si="5">F29</f>
        <v>75960.2161995103</v>
      </c>
      <c r="C30" s="28">
        <f t="shared" si="0"/>
        <v>13242.2671636809</v>
      </c>
      <c r="D30" s="16">
        <f t="shared" si="1"/>
        <v>-987.482810593658</v>
      </c>
      <c r="E30" s="16">
        <f t="shared" si="2"/>
        <v>12254.7843530873</v>
      </c>
      <c r="F30" s="26">
        <f t="shared" si="3"/>
        <v>63705.431846423</v>
      </c>
    </row>
    <row r="31" spans="1:9">
      <c r="A31" s="27">
        <f t="shared" si="4"/>
        <v>4</v>
      </c>
      <c r="B31" s="28">
        <f t="shared" si="5"/>
        <v>63705.431846423</v>
      </c>
      <c r="C31" s="28">
        <f t="shared" si="0"/>
        <v>13242.2671636809</v>
      </c>
      <c r="D31" s="16">
        <f t="shared" si="1"/>
        <v>-828.170614003515</v>
      </c>
      <c r="E31" s="16">
        <f t="shared" si="2"/>
        <v>12414.0965496774</v>
      </c>
      <c r="F31" s="26">
        <f t="shared" si="3"/>
        <v>51291.3352967456</v>
      </c>
    </row>
    <row r="32" spans="1:9">
      <c r="A32" s="27">
        <f t="shared" si="4"/>
        <v>5</v>
      </c>
      <c r="B32" s="28">
        <f t="shared" si="5"/>
        <v>51291.3352967456</v>
      </c>
      <c r="C32" s="28">
        <f t="shared" si="0"/>
        <v>13242.2671636809</v>
      </c>
      <c r="D32" s="16">
        <f t="shared" si="1"/>
        <v>-666.787358857709</v>
      </c>
      <c r="E32" s="16">
        <f t="shared" si="2"/>
        <v>12575.4798048232</v>
      </c>
      <c r="F32" s="26">
        <f t="shared" si="3"/>
        <v>38715.8554919224</v>
      </c>
    </row>
    <row r="33" spans="1:6">
      <c r="A33" s="27">
        <f t="shared" si="4"/>
        <v>6</v>
      </c>
      <c r="B33" s="28">
        <f t="shared" si="5"/>
        <v>38715.8554919224</v>
      </c>
      <c r="C33" s="28">
        <f t="shared" si="0"/>
        <v>13242.2671636809</v>
      </c>
      <c r="D33" s="16">
        <f t="shared" si="1"/>
        <v>-503.306121394999</v>
      </c>
      <c r="E33" s="16">
        <f t="shared" si="2"/>
        <v>12738.9610422859</v>
      </c>
      <c r="F33" s="26">
        <f t="shared" si="3"/>
        <v>25976.8944496364</v>
      </c>
    </row>
    <row r="34" spans="1:6">
      <c r="A34" s="27">
        <f t="shared" si="4"/>
        <v>7</v>
      </c>
      <c r="B34" s="28">
        <f t="shared" si="5"/>
        <v>25976.8944496364</v>
      </c>
      <c r="C34" s="28">
        <f t="shared" si="0"/>
        <v>13242.2671636809</v>
      </c>
      <c r="D34" s="16">
        <f t="shared" si="1"/>
        <v>-337.699627845292</v>
      </c>
      <c r="E34" s="16">
        <f t="shared" si="2"/>
        <v>12904.5675358356</v>
      </c>
      <c r="F34" s="26">
        <f t="shared" si="3"/>
        <v>13072.3269138008</v>
      </c>
    </row>
    <row r="35" ht="15.15" spans="1:6">
      <c r="A35" s="29">
        <f t="shared" si="4"/>
        <v>8</v>
      </c>
      <c r="B35" s="30">
        <f t="shared" si="5"/>
        <v>13072.3269138008</v>
      </c>
      <c r="C35" s="30">
        <f t="shared" si="0"/>
        <v>13242.2671636809</v>
      </c>
      <c r="D35" s="16">
        <f t="shared" si="1"/>
        <v>-169.940249879428</v>
      </c>
      <c r="E35" s="16">
        <f t="shared" si="2"/>
        <v>13072.3269138015</v>
      </c>
      <c r="F35" s="31">
        <f t="shared" si="3"/>
        <v>-7.27595761418343e-10</v>
      </c>
    </row>
    <row r="36" ht="15.15"/>
    <row r="37" spans="1:6">
      <c r="A37" s="32" t="s">
        <v>25</v>
      </c>
      <c r="B37" s="33">
        <v>100000</v>
      </c>
    </row>
    <row r="38" spans="1:6">
      <c r="A38" s="27" t="s">
        <v>26</v>
      </c>
      <c r="B38" s="34">
        <v>15</v>
      </c>
    </row>
    <row r="39" spans="1:6">
      <c r="A39" s="27" t="s">
        <v>8</v>
      </c>
      <c r="B39" s="34">
        <v>-12000</v>
      </c>
    </row>
    <row r="40" ht="15.15" spans="1:6">
      <c r="A40" s="29" t="s">
        <v>22</v>
      </c>
      <c r="B40" s="35">
        <f>RATE(B38,B39,B37,,0,)</f>
        <v>0.0844179798493226</v>
      </c>
    </row>
    <row r="41" spans="1:6">
      <c r="A41" s="36"/>
      <c r="B41" s="37"/>
    </row>
    <row r="42" ht="16.35" spans="1:6">
      <c r="A42" s="38" t="s">
        <v>27</v>
      </c>
      <c r="B42" s="38"/>
    </row>
    <row r="43" spans="1:6">
      <c r="A43" s="32" t="s">
        <v>25</v>
      </c>
      <c r="B43" s="33">
        <v>100000</v>
      </c>
    </row>
    <row r="44" spans="1:6">
      <c r="A44" s="27" t="s">
        <v>22</v>
      </c>
      <c r="B44" s="39">
        <v>0.1</v>
      </c>
    </row>
    <row r="45" spans="1:6">
      <c r="A45" s="27" t="s">
        <v>8</v>
      </c>
      <c r="B45" s="34">
        <v>-15000</v>
      </c>
    </row>
    <row r="46" ht="15.15" spans="1:6">
      <c r="A46" s="29" t="s">
        <v>26</v>
      </c>
      <c r="B46" s="40">
        <f>NPER(B44,B45,B43,,0)</f>
        <v>11.5267046072476</v>
      </c>
    </row>
    <row r="47" spans="1:6">
      <c r="A47" s="36"/>
      <c r="B47" s="41"/>
    </row>
    <row r="48" ht="15.6" spans="1:6">
      <c r="A48" s="42" t="s">
        <v>28</v>
      </c>
      <c r="B48" s="42"/>
      <c r="C48" s="42"/>
      <c r="D48" s="42"/>
      <c r="E48" s="42"/>
    </row>
    <row r="50" spans="1:5">
      <c r="A50" s="43" t="s">
        <v>2</v>
      </c>
      <c r="B50" s="44">
        <v>0.2</v>
      </c>
      <c r="C50" s="8"/>
    </row>
    <row r="51" spans="1:5">
      <c r="A51" s="8"/>
      <c r="B51" s="45" t="s">
        <v>29</v>
      </c>
      <c r="C51" s="46"/>
    </row>
    <row r="52" spans="1:5">
      <c r="A52" s="44" t="s">
        <v>30</v>
      </c>
      <c r="B52" s="44" t="s">
        <v>31</v>
      </c>
      <c r="C52" s="44" t="s">
        <v>32</v>
      </c>
    </row>
    <row r="53" spans="1:5">
      <c r="A53" s="8">
        <v>1</v>
      </c>
      <c r="B53" s="8">
        <v>-10000</v>
      </c>
      <c r="C53" s="8">
        <v>-5000</v>
      </c>
    </row>
    <row r="54" spans="1:5">
      <c r="A54" s="8">
        <v>2</v>
      </c>
      <c r="B54" s="8">
        <v>25000</v>
      </c>
      <c r="C54" s="8">
        <v>20000</v>
      </c>
    </row>
    <row r="55" spans="1:5">
      <c r="A55" s="8">
        <v>3</v>
      </c>
      <c r="B55" s="8">
        <v>-7000</v>
      </c>
      <c r="C55" s="8">
        <v>-8000</v>
      </c>
    </row>
    <row r="56" spans="1:5">
      <c r="A56" s="8" t="s">
        <v>33</v>
      </c>
      <c r="B56" s="8">
        <f>SUM(B53:B55)</f>
        <v>8000</v>
      </c>
      <c r="C56" s="8">
        <f>SUM(C53:C55)</f>
        <v>7000</v>
      </c>
    </row>
    <row r="58" spans="1:5">
      <c r="A58" s="8" t="s">
        <v>34</v>
      </c>
      <c r="B58" s="20">
        <f>NPV(B50,B56)</f>
        <v>6666.66666666667</v>
      </c>
      <c r="C58" s="20">
        <f>NPV(B50,C56)</f>
        <v>5833.33333333333</v>
      </c>
    </row>
    <row r="59" spans="1:5">
      <c r="A59" s="8" t="s">
        <v>35</v>
      </c>
      <c r="B59" s="47">
        <f>B53+NPV(B50,B54,B55)</f>
        <v>5972.22222222222</v>
      </c>
      <c r="C59" s="47">
        <f>C53+NPV(B50,C54,C55)</f>
        <v>6111.11111111111</v>
      </c>
    </row>
    <row r="60" spans="1:5">
      <c r="A60" s="43" t="s">
        <v>36</v>
      </c>
      <c r="B60" s="28">
        <f>SQRT(1+B50)*B58</f>
        <v>7302.96743340221</v>
      </c>
      <c r="C60" s="28">
        <f>SQRT(1+B50)*C58</f>
        <v>6390.09650422694</v>
      </c>
    </row>
    <row r="61" ht="15.15"/>
    <row r="62" spans="1:5">
      <c r="A62" s="48" t="s">
        <v>2</v>
      </c>
      <c r="B62" s="49">
        <v>0.2</v>
      </c>
      <c r="D62" s="48" t="s">
        <v>2</v>
      </c>
      <c r="E62" s="49">
        <v>0.2</v>
      </c>
    </row>
    <row r="63" ht="15.15" spans="1:5">
      <c r="A63" s="50" t="s">
        <v>37</v>
      </c>
      <c r="B63" s="51" t="s">
        <v>29</v>
      </c>
      <c r="D63" s="52" t="s">
        <v>37</v>
      </c>
      <c r="E63" s="53" t="s">
        <v>29</v>
      </c>
    </row>
    <row r="64" spans="1:5">
      <c r="A64" s="54">
        <v>42536</v>
      </c>
      <c r="B64" s="34">
        <v>5000</v>
      </c>
      <c r="D64" s="55">
        <v>42078</v>
      </c>
      <c r="E64" s="56">
        <v>0</v>
      </c>
    </row>
    <row r="65" spans="1:5">
      <c r="A65" s="54">
        <v>42657</v>
      </c>
      <c r="B65" s="34">
        <v>5143</v>
      </c>
      <c r="D65" s="54">
        <v>42536</v>
      </c>
      <c r="E65" s="34">
        <v>5000</v>
      </c>
    </row>
    <row r="66" spans="1:5">
      <c r="A66" s="54">
        <v>42855</v>
      </c>
      <c r="B66" s="34">
        <v>8838</v>
      </c>
      <c r="D66" s="54">
        <v>42657</v>
      </c>
      <c r="E66" s="34">
        <v>5143</v>
      </c>
    </row>
    <row r="67" spans="1:5">
      <c r="A67" s="54">
        <v>42684</v>
      </c>
      <c r="B67" s="34">
        <v>-4893</v>
      </c>
      <c r="D67" s="54">
        <v>42855</v>
      </c>
      <c r="E67" s="34">
        <v>8838</v>
      </c>
    </row>
    <row r="68" spans="1:5">
      <c r="A68" s="54">
        <v>42629</v>
      </c>
      <c r="B68" s="34">
        <v>-2134</v>
      </c>
      <c r="D68" s="54">
        <v>42684</v>
      </c>
      <c r="E68" s="34">
        <v>-4893</v>
      </c>
    </row>
    <row r="69" spans="1:5">
      <c r="A69" s="54">
        <v>42843</v>
      </c>
      <c r="B69" s="34">
        <v>8047</v>
      </c>
      <c r="D69" s="54">
        <v>42629</v>
      </c>
      <c r="E69" s="34">
        <v>-2134</v>
      </c>
    </row>
    <row r="70" spans="1:5">
      <c r="A70" s="54">
        <v>42609</v>
      </c>
      <c r="B70" s="34">
        <v>3908</v>
      </c>
      <c r="D70" s="54">
        <v>42843</v>
      </c>
      <c r="E70" s="34">
        <v>8047</v>
      </c>
    </row>
    <row r="71" ht="15.15" spans="1:5">
      <c r="A71" s="57">
        <v>42568</v>
      </c>
      <c r="B71" s="58">
        <v>-4007</v>
      </c>
      <c r="D71" s="59">
        <v>42609</v>
      </c>
      <c r="E71" s="60">
        <v>3908</v>
      </c>
    </row>
    <row r="72" ht="15.15" spans="1:5">
      <c r="D72" s="61">
        <v>42568</v>
      </c>
      <c r="E72" s="62">
        <v>-4007</v>
      </c>
    </row>
    <row r="73" ht="15.15" spans="1:5">
      <c r="A73" s="63" t="s">
        <v>38</v>
      </c>
      <c r="B73" s="64">
        <f>XNPV(B62,B64:B71,A64:A71)</f>
        <v>17523.6545008948</v>
      </c>
      <c r="D73" s="65" t="s">
        <v>38</v>
      </c>
      <c r="E73" s="66">
        <f>XNPV(E62,E64:E72,D64:D72)</f>
        <v>13940.1834267218</v>
      </c>
    </row>
    <row r="74" ht="15.15"/>
    <row r="75" ht="15.15" spans="1:5">
      <c r="A75" s="67" t="s">
        <v>29</v>
      </c>
      <c r="B75" s="68" t="s">
        <v>2</v>
      </c>
      <c r="C75" s="69" t="s">
        <v>38</v>
      </c>
    </row>
    <row r="76" spans="1:5">
      <c r="A76" s="70">
        <v>10000</v>
      </c>
      <c r="B76" s="71">
        <v>0.08</v>
      </c>
      <c r="C76" s="72">
        <f>NPV(B76,$A$76:$A$79)</f>
        <v>-304.949185328192</v>
      </c>
    </row>
    <row r="77" spans="1:5">
      <c r="A77" s="73">
        <v>-5000</v>
      </c>
      <c r="B77" s="74">
        <v>0.085</v>
      </c>
      <c r="C77" s="72">
        <f t="shared" ref="C77:C84" si="6">NPV(B77,$A$76:$A$79)</f>
        <v>-242.256840360846</v>
      </c>
    </row>
    <row r="78" spans="1:5">
      <c r="A78" s="73">
        <v>-8500</v>
      </c>
      <c r="B78" s="74">
        <v>0.09</v>
      </c>
      <c r="C78" s="72">
        <f t="shared" si="6"/>
        <v>-180.797198115948</v>
      </c>
    </row>
    <row r="79" ht="15.15" spans="1:5">
      <c r="A79" s="75">
        <v>2000</v>
      </c>
      <c r="B79" s="74">
        <v>0.095</v>
      </c>
      <c r="C79" s="72">
        <f t="shared" si="6"/>
        <v>-120.543894528583</v>
      </c>
    </row>
    <row r="80" spans="1:5">
      <c r="A80" s="36"/>
      <c r="B80" s="74">
        <v>0.1</v>
      </c>
      <c r="C80" s="72">
        <f t="shared" si="6"/>
        <v>-61.4712109828545</v>
      </c>
    </row>
    <row r="81" spans="1:6">
      <c r="A81" s="36"/>
      <c r="B81" s="74">
        <v>0.1053</v>
      </c>
      <c r="C81" s="72">
        <f t="shared" si="6"/>
        <v>-0.115235322688022</v>
      </c>
    </row>
    <row r="82" spans="1:6">
      <c r="A82" s="36"/>
      <c r="B82" s="74">
        <v>0.11</v>
      </c>
      <c r="C82" s="72">
        <f t="shared" si="6"/>
        <v>53.2320500206592</v>
      </c>
    </row>
    <row r="83" spans="1:6">
      <c r="A83" s="36"/>
      <c r="B83" s="74">
        <v>0.115</v>
      </c>
      <c r="C83" s="72">
        <f t="shared" si="6"/>
        <v>108.910995781292</v>
      </c>
    </row>
    <row r="84" ht="15.15" spans="1:6">
      <c r="A84" s="36"/>
      <c r="B84" s="76">
        <v>0.12</v>
      </c>
      <c r="C84" s="72">
        <f t="shared" si="6"/>
        <v>163.506091211996</v>
      </c>
    </row>
    <row r="85" spans="1:6">
      <c r="B85" s="77"/>
    </row>
    <row r="86" ht="15.6" spans="1:6">
      <c r="A86" s="78" t="s">
        <v>39</v>
      </c>
      <c r="B86" s="78"/>
      <c r="C86" s="78"/>
      <c r="D86" s="78"/>
      <c r="E86" s="78"/>
      <c r="F86" s="78"/>
    </row>
    <row r="87" ht="15.15"/>
    <row r="88" ht="15.15" spans="1:6">
      <c r="A88" s="44" t="s">
        <v>40</v>
      </c>
      <c r="C88" s="79" t="s">
        <v>40</v>
      </c>
      <c r="D88" s="68" t="s">
        <v>41</v>
      </c>
      <c r="E88" s="80" t="s">
        <v>39</v>
      </c>
    </row>
    <row r="89" spans="1:6">
      <c r="A89" s="8">
        <v>10000</v>
      </c>
      <c r="C89" s="81">
        <v>10000</v>
      </c>
      <c r="D89" s="24"/>
      <c r="E89" s="82">
        <f>IRR(A89:A92)</f>
        <v>0.105310059186736</v>
      </c>
    </row>
    <row r="90" spans="1:6">
      <c r="A90" s="8">
        <v>-5000</v>
      </c>
      <c r="C90" s="83">
        <v>-5000</v>
      </c>
      <c r="D90" s="27">
        <v>0.05</v>
      </c>
      <c r="E90" s="84">
        <f>IRR($A$89:$A$92,D90)</f>
        <v>0.105310059186736</v>
      </c>
    </row>
    <row r="91" spans="1:6">
      <c r="A91" s="8">
        <v>-8500</v>
      </c>
      <c r="C91" s="83">
        <v>-8500</v>
      </c>
      <c r="D91" s="27">
        <v>0.15</v>
      </c>
      <c r="E91" s="84">
        <f t="shared" ref="E91:E99" si="7">IRR($A$89:$A$92,D91)</f>
        <v>0.105310059186736</v>
      </c>
    </row>
    <row r="92" spans="1:6">
      <c r="A92" s="8">
        <v>2000</v>
      </c>
      <c r="C92" s="83">
        <v>2000</v>
      </c>
      <c r="D92" s="27">
        <v>0.2</v>
      </c>
      <c r="E92" s="84">
        <f t="shared" si="7"/>
        <v>0.105310059186736</v>
      </c>
    </row>
    <row r="93" ht="15.15" spans="1:6">
      <c r="D93" s="27">
        <v>0.25</v>
      </c>
      <c r="E93" s="84">
        <f t="shared" si="7"/>
        <v>0.105310059186736</v>
      </c>
    </row>
    <row r="94" ht="15.15" spans="1:6">
      <c r="A94" s="85" t="s">
        <v>39</v>
      </c>
      <c r="D94" s="27">
        <v>0.3</v>
      </c>
      <c r="E94" s="84">
        <f t="shared" si="7"/>
        <v>0.105310059186736</v>
      </c>
    </row>
    <row r="95" ht="15.15" spans="1:6">
      <c r="A95" s="86">
        <f>IRR(A89:A92)</f>
        <v>0.105310059186736</v>
      </c>
      <c r="D95" s="27">
        <v>0.35</v>
      </c>
      <c r="E95" s="84">
        <f t="shared" si="7"/>
        <v>0.105310059186736</v>
      </c>
    </row>
    <row r="96" spans="1:6">
      <c r="D96" s="27">
        <v>0.4</v>
      </c>
      <c r="E96" s="84">
        <f t="shared" si="7"/>
        <v>0.105310059186736</v>
      </c>
    </row>
    <row r="97" spans="1:5">
      <c r="D97" s="27">
        <v>0.45</v>
      </c>
      <c r="E97" s="84">
        <f t="shared" si="7"/>
        <v>0.105310059186736</v>
      </c>
    </row>
    <row r="98" spans="1:5">
      <c r="D98" s="27">
        <v>0.5</v>
      </c>
      <c r="E98" s="84">
        <f t="shared" si="7"/>
        <v>0.105310059186736</v>
      </c>
    </row>
    <row r="99" ht="15.15" spans="1:5">
      <c r="D99" s="29">
        <v>0.55</v>
      </c>
      <c r="E99" s="84">
        <f t="shared" si="7"/>
        <v>0.105310059186736</v>
      </c>
    </row>
    <row r="101" ht="15.15"/>
    <row r="102" spans="1:5">
      <c r="A102" s="87" t="s">
        <v>40</v>
      </c>
      <c r="B102" s="88" t="s">
        <v>41</v>
      </c>
      <c r="C102" s="89" t="s">
        <v>39</v>
      </c>
    </row>
    <row r="103" spans="1:5">
      <c r="A103" s="8">
        <v>-20000</v>
      </c>
      <c r="B103" s="8"/>
      <c r="C103" s="90">
        <f>IRR(A103:A106)</f>
        <v>-0.095909414154997</v>
      </c>
    </row>
    <row r="104" spans="1:5">
      <c r="A104" s="8">
        <v>82000</v>
      </c>
      <c r="B104" s="90">
        <v>0.15</v>
      </c>
      <c r="C104" s="90">
        <f>IRR($A$103:$A$106,B104)</f>
        <v>-0.095909414154997</v>
      </c>
    </row>
    <row r="105" spans="1:5">
      <c r="A105" s="8">
        <v>-60000</v>
      </c>
      <c r="B105" s="90">
        <v>0.2</v>
      </c>
      <c r="C105" s="90">
        <f t="shared" ref="C105:C113" si="8">IRR($A$103:$A$106,B105)</f>
        <v>-0.095909414154997</v>
      </c>
    </row>
    <row r="106" spans="1:5">
      <c r="A106" s="8">
        <v>2000</v>
      </c>
      <c r="B106" s="90">
        <v>0.25</v>
      </c>
      <c r="C106" s="90">
        <f t="shared" si="8"/>
        <v>-0.095909414154997</v>
      </c>
    </row>
    <row r="107" spans="1:5">
      <c r="B107" s="74">
        <v>0.3</v>
      </c>
      <c r="C107" s="90">
        <f t="shared" si="8"/>
        <v>2.16091691404927</v>
      </c>
    </row>
    <row r="108" spans="1:5">
      <c r="B108" s="74">
        <v>0.35</v>
      </c>
      <c r="C108" s="90">
        <f t="shared" si="8"/>
        <v>-0.0959094141549969</v>
      </c>
    </row>
    <row r="109" spans="1:5">
      <c r="B109" s="74">
        <v>0.4</v>
      </c>
      <c r="C109" s="90">
        <f t="shared" si="8"/>
        <v>-0.0959094141549971</v>
      </c>
    </row>
    <row r="110" spans="1:5">
      <c r="B110" s="74">
        <v>0.45</v>
      </c>
      <c r="C110" s="90">
        <f t="shared" si="8"/>
        <v>-0.0959094141549969</v>
      </c>
    </row>
    <row r="111" spans="1:5">
      <c r="B111" s="74">
        <v>0.5</v>
      </c>
      <c r="C111" s="90">
        <f t="shared" si="8"/>
        <v>2.16091691404927</v>
      </c>
    </row>
    <row r="112" spans="1:5">
      <c r="B112" s="74">
        <v>0.55</v>
      </c>
      <c r="C112" s="90">
        <f t="shared" si="8"/>
        <v>2.16091691404928</v>
      </c>
    </row>
    <row r="113" ht="15.15" spans="1:3">
      <c r="B113" s="76">
        <v>0.6</v>
      </c>
      <c r="C113" s="90">
        <f t="shared" si="8"/>
        <v>2.16091691404927</v>
      </c>
    </row>
    <row r="115" ht="15.15"/>
    <row r="116" ht="15.15" spans="1:3">
      <c r="A116" s="67" t="s">
        <v>40</v>
      </c>
      <c r="B116" s="68" t="s">
        <v>41</v>
      </c>
      <c r="C116" s="80" t="s">
        <v>39</v>
      </c>
    </row>
    <row r="117" spans="1:3">
      <c r="A117" s="81">
        <v>10000</v>
      </c>
      <c r="B117" s="24"/>
      <c r="C117" s="91" t="e">
        <f>IRR(A117:A120)</f>
        <v>#NUM!</v>
      </c>
    </row>
    <row r="118" spans="1:3">
      <c r="A118" s="83">
        <v>-5000</v>
      </c>
      <c r="B118" s="27">
        <v>0.05</v>
      </c>
      <c r="C118" s="92" t="e">
        <f>IRR($A$117:$A$120,B118)</f>
        <v>#NUM!</v>
      </c>
    </row>
    <row r="119" spans="1:3">
      <c r="A119" s="83">
        <v>8500</v>
      </c>
      <c r="B119" s="27">
        <v>0.15</v>
      </c>
      <c r="C119" s="92" t="e">
        <f t="shared" ref="C119:C127" si="9">IRR($A$117:$A$120,B119)</f>
        <v>#NUM!</v>
      </c>
    </row>
    <row r="120" spans="1:3">
      <c r="A120" s="83">
        <v>2000</v>
      </c>
      <c r="B120" s="27">
        <v>0.2</v>
      </c>
      <c r="C120" s="92" t="e">
        <f t="shared" si="9"/>
        <v>#NUM!</v>
      </c>
    </row>
    <row r="121" spans="1:3">
      <c r="B121" s="27">
        <v>0.25</v>
      </c>
      <c r="C121" s="92" t="e">
        <f t="shared" si="9"/>
        <v>#NUM!</v>
      </c>
    </row>
    <row r="122" spans="1:3">
      <c r="B122" s="27">
        <v>0.3</v>
      </c>
      <c r="C122" s="92" t="e">
        <f t="shared" si="9"/>
        <v>#NUM!</v>
      </c>
    </row>
    <row r="123" spans="1:3">
      <c r="B123" s="27">
        <v>0.35</v>
      </c>
      <c r="C123" s="92" t="e">
        <f t="shared" si="9"/>
        <v>#NUM!</v>
      </c>
    </row>
    <row r="124" spans="1:3">
      <c r="B124" s="27">
        <v>0.4</v>
      </c>
      <c r="C124" s="92" t="e">
        <f t="shared" si="9"/>
        <v>#NUM!</v>
      </c>
    </row>
    <row r="125" spans="1:3">
      <c r="B125" s="27">
        <v>0.45</v>
      </c>
      <c r="C125" s="92" t="e">
        <f t="shared" si="9"/>
        <v>#NUM!</v>
      </c>
    </row>
    <row r="126" spans="1:3">
      <c r="B126" s="27">
        <v>0.5</v>
      </c>
      <c r="C126" s="92" t="e">
        <f t="shared" si="9"/>
        <v>#NUM!</v>
      </c>
    </row>
    <row r="127" ht="15.15" spans="1:3">
      <c r="B127" s="29">
        <v>0.55</v>
      </c>
      <c r="C127" s="92" t="e">
        <f t="shared" si="9"/>
        <v>#NUM!</v>
      </c>
    </row>
    <row r="129" spans="1:6">
      <c r="A129" s="44" t="s">
        <v>42</v>
      </c>
      <c r="B129" s="44" t="s">
        <v>43</v>
      </c>
      <c r="C129" s="44" t="s">
        <v>44</v>
      </c>
      <c r="E129" s="44" t="s">
        <v>37</v>
      </c>
      <c r="F129" s="44" t="s">
        <v>29</v>
      </c>
    </row>
    <row r="130" spans="1:6">
      <c r="A130" s="8">
        <v>0</v>
      </c>
      <c r="B130" s="43">
        <v>-1000</v>
      </c>
      <c r="C130" s="8">
        <v>-1000</v>
      </c>
      <c r="E130" s="93">
        <v>42220</v>
      </c>
      <c r="F130" s="43">
        <v>-10000</v>
      </c>
    </row>
    <row r="131" spans="1:6">
      <c r="A131" s="8">
        <v>1</v>
      </c>
      <c r="B131" s="43">
        <v>0</v>
      </c>
      <c r="C131" s="8">
        <v>400</v>
      </c>
      <c r="E131" s="94" t="s">
        <v>45</v>
      </c>
      <c r="F131" s="43">
        <v>4000</v>
      </c>
    </row>
    <row r="132" spans="1:6">
      <c r="A132" s="8">
        <v>2</v>
      </c>
      <c r="B132" s="43">
        <v>200</v>
      </c>
      <c r="C132" s="8">
        <v>400</v>
      </c>
      <c r="E132" s="94" t="s">
        <v>46</v>
      </c>
      <c r="F132" s="43">
        <v>3000</v>
      </c>
    </row>
    <row r="133" spans="1:6">
      <c r="A133" s="8">
        <v>3</v>
      </c>
      <c r="B133" s="43">
        <v>300</v>
      </c>
      <c r="C133" s="8">
        <v>300</v>
      </c>
      <c r="E133" s="94" t="s">
        <v>47</v>
      </c>
      <c r="F133" s="43">
        <v>5000</v>
      </c>
    </row>
    <row r="134" ht="15.15" spans="1:6">
      <c r="A134" s="8">
        <v>4</v>
      </c>
      <c r="B134" s="43">
        <v>500</v>
      </c>
      <c r="C134" s="8">
        <v>300</v>
      </c>
    </row>
    <row r="135" ht="15.15" spans="1:6">
      <c r="A135" s="95">
        <v>5</v>
      </c>
      <c r="B135" s="96">
        <v>900</v>
      </c>
      <c r="C135" s="95">
        <v>200</v>
      </c>
      <c r="E135" s="68" t="s">
        <v>48</v>
      </c>
      <c r="F135" s="97">
        <v>0.2642</v>
      </c>
    </row>
    <row r="136" ht="15.15" spans="1:6">
      <c r="A136" s="68" t="s">
        <v>39</v>
      </c>
      <c r="B136" s="98">
        <f>IRR(B130:B135)</f>
        <v>0.173184261669596</v>
      </c>
      <c r="C136" s="99">
        <f>IRR(C130:C135)</f>
        <v>0.204947830107136</v>
      </c>
    </row>
    <row r="137" ht="15.15" spans="1:6">
      <c r="A137" s="68" t="s">
        <v>38</v>
      </c>
      <c r="B137" s="100">
        <v>815.89</v>
      </c>
      <c r="C137" s="101">
        <v>552.4</v>
      </c>
    </row>
    <row r="140" spans="1:6">
      <c r="A140" s="44" t="s">
        <v>49</v>
      </c>
      <c r="B140" s="102">
        <v>0.1</v>
      </c>
    </row>
    <row r="141" spans="1:6">
      <c r="A141" s="44" t="s">
        <v>50</v>
      </c>
      <c r="B141" s="102">
        <v>0.12</v>
      </c>
    </row>
    <row r="143" spans="1:6">
      <c r="A143" s="44" t="s">
        <v>42</v>
      </c>
      <c r="B143" s="44" t="s">
        <v>29</v>
      </c>
    </row>
    <row r="144" spans="1:6">
      <c r="A144" s="8">
        <v>0</v>
      </c>
      <c r="B144" s="8">
        <v>-1.6</v>
      </c>
    </row>
    <row r="145" spans="1:2">
      <c r="A145" s="8">
        <v>1</v>
      </c>
      <c r="B145" s="8">
        <v>10</v>
      </c>
    </row>
    <row r="146" spans="1:2">
      <c r="A146" s="8">
        <v>2</v>
      </c>
      <c r="B146" s="8">
        <v>-10</v>
      </c>
    </row>
    <row r="147" ht="15.15"/>
    <row r="148" ht="15.15" spans="1:2">
      <c r="A148" s="68" t="s">
        <v>51</v>
      </c>
      <c r="B148" s="80" t="s">
        <v>38</v>
      </c>
    </row>
    <row r="149" spans="1:2">
      <c r="A149" s="103">
        <v>0.1</v>
      </c>
      <c r="B149" s="104">
        <f>NPV(A149,B144:B146)</f>
        <v>-0.703230653643875</v>
      </c>
    </row>
    <row r="150" spans="1:2">
      <c r="A150" s="105">
        <v>0.25</v>
      </c>
      <c r="B150" s="104">
        <f>NPV(A150,B145:B147)</f>
        <v>1.6</v>
      </c>
    </row>
    <row r="151" spans="1:2">
      <c r="A151" s="105">
        <v>1.1</v>
      </c>
      <c r="B151" s="104">
        <f>NPV(A151,B146:B148)</f>
        <v>-4.76190476190476</v>
      </c>
    </row>
    <row r="152" spans="1:2">
      <c r="A152" s="105">
        <v>4</v>
      </c>
      <c r="B152" s="104">
        <f>NPV(A152,B147:B149)</f>
        <v>-0.140646130728775</v>
      </c>
    </row>
    <row r="153" ht="15.15" spans="1:2">
      <c r="A153" s="106">
        <v>5</v>
      </c>
      <c r="B153" s="104">
        <f>NPV(A153,B148:B150)</f>
        <v>-0.0727606644962015</v>
      </c>
    </row>
    <row r="155" spans="1:2">
      <c r="A155" s="44" t="s">
        <v>52</v>
      </c>
      <c r="B155" s="102">
        <f>MIRR(B144:B146,B140,B141)</f>
        <v>0.0655462167106506</v>
      </c>
    </row>
  </sheetData>
  <mergeCells count="8">
    <mergeCell ref="A1:E1"/>
    <mergeCell ref="A6:B6"/>
    <mergeCell ref="D6:E6"/>
    <mergeCell ref="A9:F9"/>
    <mergeCell ref="A42:B42"/>
    <mergeCell ref="A48:E48"/>
    <mergeCell ref="B51:C51"/>
    <mergeCell ref="A86:F8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Worksheets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Jha</dc:creator>
  <cp:lastModifiedBy>Admin</cp:lastModifiedBy>
  <dcterms:created xsi:type="dcterms:W3CDTF">2023-06-15T04:20:00Z</dcterms:created>
  <dcterms:modified xsi:type="dcterms:W3CDTF">2026-05-17T09:58:35Z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7E8DB74873CC4F8B927C45C260968CA7_12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