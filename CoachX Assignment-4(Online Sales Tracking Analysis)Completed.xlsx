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8795" activeTab="1"/>
  </bookViews>
  <sheets>
    <sheet name="Sales report" sheetId="1" r:id="rId1"/>
    <sheet name="Online Sales Tracker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<sst xmlns="http://schemas.openxmlformats.org/spreadsheetml/2006/main" count="98" uniqueCount="30">
  <si>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Monthly Sales Report</t>
  </si>
  <si>
    <t>Date</t>
  </si>
  <si>
    <t>Day</t>
  </si>
  <si>
    <t>Product</t>
  </si>
  <si>
    <t>Quantity</t>
  </si>
  <si>
    <t>Sales channel</t>
  </si>
  <si>
    <t>Cost Price</t>
  </si>
  <si>
    <t>Sell Price</t>
  </si>
  <si>
    <t>Profit</t>
  </si>
  <si>
    <t>Margin</t>
  </si>
  <si>
    <t>Net income</t>
  </si>
  <si>
    <t>Revenue</t>
  </si>
  <si>
    <t>A</t>
  </si>
  <si>
    <t>Amazon</t>
  </si>
  <si>
    <t>Website</t>
  </si>
  <si>
    <t>E</t>
  </si>
  <si>
    <t>B</t>
  </si>
  <si>
    <t>Big basket</t>
  </si>
  <si>
    <t>C</t>
  </si>
  <si>
    <t>D</t>
  </si>
  <si>
    <t>Flipkart</t>
  </si>
  <si>
    <t>Shopclues</t>
  </si>
  <si>
    <t>Online Sales Tracker</t>
  </si>
  <si>
    <t>TIPS:--</t>
  </si>
  <si>
    <t>Sales Summary</t>
  </si>
  <si>
    <t>Volume Breakup</t>
  </si>
  <si>
    <t>Volume</t>
  </si>
  <si>
    <t>TOTAL</t>
  </si>
  <si>
    <t>Product-wise Profit Breakup</t>
  </si>
  <si>
    <t>Big Basket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</si>
</sst>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-[$$-409]* #,##0.00_ ;_-[$$-409]* \-#,##0.00\ ;_-[$$-409]* &quot;-&quot;??_ ;_-@_ "/>
  </numFmts>
  <fonts count="34">
    <font>
      <sz val="11"/>
      <color theme="1"/>
      <name val="Calibri"/>
      <charset val="134"/>
      <scheme val="minor"/>
    </font>
    <font>
      <b/>
      <u/>
      <sz val="35"/>
      <color rgb="FFFFFF00"/>
      <name val="Lucida Calligraphy"/>
      <charset val="134"/>
    </font>
    <font>
      <b/>
      <u/>
      <sz val="25"/>
      <color rgb="FFFFFF00"/>
      <name val="Lucida Calligraphy"/>
      <charset val="134"/>
    </font>
    <font>
      <b/>
      <sz val="25"/>
      <color theme="0"/>
      <name val="Lucida Calligraphy"/>
      <charset val="134"/>
    </font>
    <font>
      <b/>
      <sz val="25"/>
      <color theme="0"/>
      <name val="Times New Roman"/>
      <charset val="134"/>
    </font>
    <font>
      <b/>
      <sz val="20"/>
      <color theme="0"/>
      <name val="Times New Roman"/>
      <charset val="134"/>
    </font>
    <font>
      <b/>
      <sz val="15"/>
      <color theme="0"/>
      <name val="Times New Roman"/>
      <charset val="134"/>
    </font>
    <font>
      <b/>
      <sz val="10"/>
      <color theme="0"/>
      <name val="Times New Roman"/>
      <charset val="134"/>
    </font>
    <font>
      <b/>
      <sz val="14"/>
      <color theme="0"/>
      <name val="Times New Roman"/>
      <charset val="134"/>
    </font>
    <font>
      <sz val="10"/>
      <color theme="0"/>
      <name val="Times New Roman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b/>
      <sz val="18"/>
      <color theme="1"/>
      <name val="Calibri"/>
      <charset val="134"/>
      <scheme val="minor"/>
    </font>
    <font>
      <sz val="11"/>
      <color theme="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center"/>
    </xf>
    <xf numFmtId="0" fontId="14" fillId="8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10" borderId="17" applyNumberFormat="0" applyAlignment="0" applyProtection="0">
      <alignment vertical="center"/>
    </xf>
    <xf numFmtId="0" fontId="25" fillId="10" borderId="16" applyNumberFormat="0" applyAlignment="0" applyProtection="0">
      <alignment vertical="center"/>
    </xf>
    <xf numFmtId="0" fontId="26" fillId="11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6" applyFont="1" applyFill="1" applyBorder="1" applyAlignment="1" applyProtection="1">
      <alignment horizontal="center" vertical="center"/>
    </xf>
    <xf numFmtId="0" fontId="2" fillId="3" borderId="1" xfId="6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80" fontId="11" fillId="6" borderId="1" xfId="0" applyNumberFormat="1" applyFont="1" applyFill="1" applyBorder="1" applyAlignment="1">
      <alignment horizontal="center" vertical="center"/>
    </xf>
    <xf numFmtId="180" fontId="13" fillId="3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81" fontId="13" fillId="3" borderId="1" xfId="2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9" fontId="13" fillId="3" borderId="1" xfId="3" applyFont="1" applyFill="1" applyBorder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33300"/>
      <color rgb="00DCEEF2"/>
      <color rgb="00FFCC99"/>
      <color rgb="00FF7C80"/>
      <color rgb="00FF9999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674558669731929"/>
          <c:y val="0.320461165302459"/>
          <c:w val="0.211803157899323"/>
          <c:h val="0.0609297730937589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9344"/>
        <c:axId val="173610880"/>
      </c:bar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360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b37581-a18d-4cc7-879a-25a34235fd95}"/>
      </c:ext>
    </c:extLst>
  </c:chart>
  <c:spPr>
    <a:solidFill>
      <a:schemeClr val="accent5">
        <a:lumMod val="50000"/>
      </a:schemeClr>
    </a:solidFill>
    <a:ln w="19050" cap="flat" cmpd="sng" algn="ctr">
      <a:solidFill>
        <a:schemeClr val="bg1">
          <a:alpha val="99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Website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3a72caf-7d91-474b-b372-ae92cc2adbcc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Amazon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2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"/>
          <c:y val="0.272267313944565"/>
          <c:w val="0.142846133096991"/>
          <c:h val="0.646893509614416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a7427a2-ce18-41f8-948a-b58a74533976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solidFill>
                  <a:schemeClr val="tx1"/>
                </a:solidFill>
                <a:latin typeface="+mn-lt"/>
              </a:rPr>
              <a:t>Big basket</a:t>
            </a:r>
            <a:endParaRPr lang="en-US" sz="14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7623c0d-c903-49e2-9479-6ef9de77c983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Flipkart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214d8b4-f8e9-4c10-abee-a0ebbe3756cc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Shopclues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37da87d-467c-4c61-8b2b-2e2b5230977b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  <a:endParaRPr lang="en-US" baseline="0">
              <a:solidFill>
                <a:schemeClr val="bg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663510444699626"/>
          <c:y val="0.171710118609548"/>
          <c:w val="0.842582209517372"/>
          <c:h val="0.682888388951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dLbls>
            <c:delete val="1"/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dLbls>
            <c:delete val="1"/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dLbls>
            <c:delete val="1"/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dLbls>
            <c:delete val="1"/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dc4020-181c-430f-8854-6cf876707a10}"/>
      </c:ext>
    </c:extLst>
  </c:chart>
  <c:spPr>
    <a:solidFill>
      <a:schemeClr val="accent5">
        <a:lumMod val="50000"/>
      </a:schemeClr>
    </a:solidFill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Big Basket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88a9d02-be4c-4760-b009-dd040bcc7c38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Website</a:t>
            </a:r>
            <a:endParaRPr lang="en-US" sz="1400"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a0ca999-529a-496e-b967-91c4caebd29b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Amazon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1aa25cb-15a2-4dea-a0cc-f83ff2a05af6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Flipkart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d63ba5d-934b-4451-a55c-4ba19fb77ccd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Flipkart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5949719-7ed8-46cf-b4cd-36f935ff0aa5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55899779922126"/>
          <c:y val="0.166325036603221"/>
          <c:w val="0.935788048078551"/>
          <c:h val="0.611537335285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'Online Sales Tracker'!$C$6:$H$6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Volume</c:v>
                </c:pt>
              </c:strCache>
            </c:strRef>
          </c:cat>
          <c:val>
            <c:numRef>
              <c:f>'Online Sales Tracker'!$C$7:$H$7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  <c:pt idx="5">
                  <c:v>125</c:v>
                </c:pt>
              </c:numCache>
            </c:numRef>
          </c:val>
        </c:ser>
        <c:ser>
          <c:idx val="1"/>
          <c:order val="1"/>
          <c:tx>
            <c:strRef>
              <c:f>'Online Sales Tracker'!$B$8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50800" dir="5400000" algn="ctr" rotWithShape="0">
                <a:schemeClr val="accent2">
                  <a:alpha val="6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'Online Sales Tracker'!$C$6:$H$6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Volume</c:v>
                </c:pt>
              </c:strCache>
            </c:strRef>
          </c:cat>
          <c:val>
            <c:numRef>
              <c:f>'Online Sales Tracker'!$C$8:$H$8</c:f>
              <c:numCache>
                <c:formatCode>General</c:formatCode>
                <c:ptCount val="6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  <c:pt idx="5">
                  <c:v>295</c:v>
                </c:pt>
              </c:numCache>
            </c:numRef>
          </c:val>
        </c:ser>
        <c:ser>
          <c:idx val="2"/>
          <c:order val="2"/>
          <c:tx>
            <c:strRef>
              <c:f>'Online Sales Tracker'!$B$9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'Online Sales Tracker'!$C$6:$H$6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Volume</c:v>
                </c:pt>
              </c:strCache>
            </c:strRef>
          </c:cat>
          <c:val>
            <c:numRef>
              <c:f>'Online Sales Tracker'!$C$9:$H$9</c:f>
              <c:numCache>
                <c:formatCode>General</c:formatCode>
                <c:ptCount val="6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  <c:pt idx="5">
                  <c:v>260</c:v>
                </c:pt>
              </c:numCache>
            </c:numRef>
          </c:val>
        </c:ser>
        <c:ser>
          <c:idx val="3"/>
          <c:order val="3"/>
          <c:tx>
            <c:strRef>
              <c:f>'Online Sales Tracker'!$B$10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'Online Sales Tracker'!$C$6:$H$6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Volume</c:v>
                </c:pt>
              </c:strCache>
            </c:strRef>
          </c:cat>
          <c:val>
            <c:numRef>
              <c:f>'Online Sales Tracker'!$C$10:$H$10</c:f>
              <c:numCache>
                <c:formatCode>General</c:formatCode>
                <c:ptCount val="6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  <c:pt idx="5">
                  <c:v>185</c:v>
                </c:pt>
              </c:numCache>
            </c:numRef>
          </c:val>
        </c:ser>
        <c:ser>
          <c:idx val="4"/>
          <c:order val="4"/>
          <c:tx>
            <c:strRef>
              <c:f>'Online Sales Tracker'!$B$11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'Online Sales Tracker'!$C$6:$H$6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Volume</c:v>
                </c:pt>
              </c:strCache>
            </c:strRef>
          </c:cat>
          <c:val>
            <c:numRef>
              <c:f>'Online Sales Tracker'!$C$11:$H$11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60368244"/>
        <c:axId val="823403133"/>
      </c:barChart>
      <c:catAx>
        <c:axId val="3603682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23403133"/>
        <c:crosses val="autoZero"/>
        <c:auto val="1"/>
        <c:lblAlgn val="ctr"/>
        <c:lblOffset val="100"/>
        <c:noMultiLvlLbl val="0"/>
      </c:catAx>
      <c:valAx>
        <c:axId val="8234031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0368244"/>
        <c:crosses val="autoZero"/>
        <c:crossBetween val="between"/>
      </c:valAx>
      <c:spPr>
        <a:noFill/>
        <a:ln>
          <a:noFill/>
        </a:ln>
        <a:effectLst>
          <a:glow rad="228600">
            <a:schemeClr val="accent4">
              <a:satMod val="175000"/>
              <a:alpha val="40000"/>
            </a:schemeClr>
          </a:glow>
          <a:outerShdw blurRad="50800" dist="50800" dir="5400000" algn="ctr" rotWithShape="0">
            <a:schemeClr val="accent4">
              <a:alpha val="100000"/>
            </a:schemeClr>
          </a:outerShdw>
        </a:effectLst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19050" cap="flat" cmpd="sng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43000"/>
                </a:srgbClr>
              </a:outerShdw>
            </a:effectLst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43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43000"/>
                  </a:srgb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43000"/>
                  </a:srgb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43000"/>
                  </a:srgb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43000"/>
                  </a:srgbClr>
                </a:outerShdw>
              </a:effectLst>
            </c:spPr>
          </c:dPt>
          <c:dLbls>
            <c:delete val="1"/>
          </c:dLbls>
          <c:val>
            <c:numRef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val>
            <c:numRef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val>
            <c:numRef>
              <c:f>'Online Sales Tracker'!$E$7:$E$12</c:f>
              <c:numCache>
                <c:formatCode>General</c:formatCode>
                <c:ptCount val="6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180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val>
            <c:numRef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val>
            <c:numRef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>
      <xdr:nvSpPr>
        <xdr:cNvPr id="2" name="TextBox 1"/>
        <xdr:cNvSpPr txBox="1"/>
      </xdr:nvSpPr>
      <xdr:spPr>
        <a:xfrm>
          <a:off x="10142220" y="1434465"/>
          <a:ext cx="6216015" cy="47167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  <a:endParaRPr lang="en-US" sz="1600" b="1" baseline="0"/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>
      <xdr:nvSpPr>
        <xdr:cNvPr id="3" name="TextBox 2"/>
        <xdr:cNvSpPr txBox="1"/>
      </xdr:nvSpPr>
      <xdr:spPr>
        <a:xfrm>
          <a:off x="142875" y="142875"/>
          <a:ext cx="14468475" cy="401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>
      <xdr:nvGraphicFramePr>
        <xdr:cNvPr id="2" name="Chart 1"/>
        <xdr:cNvGraphicFramePr/>
      </xdr:nvGraphicFramePr>
      <xdr:xfrm>
        <a:off x="215265" y="5073015"/>
        <a:ext cx="7553960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>
      <xdr:nvGraphicFramePr>
        <xdr:cNvPr id="3" name="Chart 2"/>
        <xdr:cNvGraphicFramePr/>
      </xdr:nvGraphicFramePr>
      <xdr:xfrm>
        <a:off x="230505" y="7835265"/>
        <a:ext cx="2106930" cy="1455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>
      <xdr:nvGraphicFramePr>
        <xdr:cNvPr id="4" name="Chart 3"/>
        <xdr:cNvGraphicFramePr/>
      </xdr:nvGraphicFramePr>
      <xdr:xfrm>
        <a:off x="2934335" y="7827645"/>
        <a:ext cx="2101850" cy="1485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1012825</xdr:colOff>
      <xdr:row>35</xdr:row>
      <xdr:rowOff>38100</xdr:rowOff>
    </xdr:from>
    <xdr:to>
      <xdr:col>7</xdr:col>
      <xdr:colOff>1053013</xdr:colOff>
      <xdr:row>43</xdr:row>
      <xdr:rowOff>38099</xdr:rowOff>
    </xdr:to>
    <xdr:graphicFrame>
      <xdr:nvGraphicFramePr>
        <xdr:cNvPr id="5" name="Chart 4"/>
        <xdr:cNvGraphicFramePr/>
      </xdr:nvGraphicFramePr>
      <xdr:xfrm>
        <a:off x="5538470" y="7865745"/>
        <a:ext cx="2195195" cy="146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>
      <xdr:nvGraphicFramePr>
        <xdr:cNvPr id="6" name="Chart 5"/>
        <xdr:cNvGraphicFramePr/>
      </xdr:nvGraphicFramePr>
      <xdr:xfrm>
        <a:off x="1300480" y="9481185"/>
        <a:ext cx="2147570" cy="144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79375</xdr:colOff>
      <xdr:row>44</xdr:row>
      <xdr:rowOff>30480</xdr:rowOff>
    </xdr:from>
    <xdr:to>
      <xdr:col>7</xdr:col>
      <xdr:colOff>90952</xdr:colOff>
      <xdr:row>52</xdr:row>
      <xdr:rowOff>15240</xdr:rowOff>
    </xdr:to>
    <xdr:graphicFrame>
      <xdr:nvGraphicFramePr>
        <xdr:cNvPr id="7" name="Chart 6"/>
        <xdr:cNvGraphicFramePr/>
      </xdr:nvGraphicFramePr>
      <xdr:xfrm>
        <a:off x="4605020" y="9504045"/>
        <a:ext cx="2166620" cy="144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>
      <xdr:nvGraphicFramePr>
        <xdr:cNvPr id="8" name="Chart 7"/>
        <xdr:cNvGraphicFramePr/>
      </xdr:nvGraphicFramePr>
      <xdr:xfrm>
        <a:off x="230505" y="11117580"/>
        <a:ext cx="7573645" cy="240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>
      <xdr:nvGraphicFramePr>
        <xdr:cNvPr id="9" name="Chart 8"/>
        <xdr:cNvGraphicFramePr/>
      </xdr:nvGraphicFramePr>
      <xdr:xfrm>
        <a:off x="5569585" y="13721715"/>
        <a:ext cx="2204085" cy="1624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>
      <xdr:nvGraphicFramePr>
        <xdr:cNvPr id="10" name="Chart 9"/>
        <xdr:cNvGraphicFramePr/>
      </xdr:nvGraphicFramePr>
      <xdr:xfrm>
        <a:off x="230505" y="13714095"/>
        <a:ext cx="2155190" cy="1633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>
      <xdr:nvGraphicFramePr>
        <xdr:cNvPr id="11" name="Chart 10"/>
        <xdr:cNvGraphicFramePr/>
      </xdr:nvGraphicFramePr>
      <xdr:xfrm>
        <a:off x="2842895" y="13736955"/>
        <a:ext cx="2223770" cy="1611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>
      <xdr:nvGraphicFramePr>
        <xdr:cNvPr id="12" name="Chart 11"/>
        <xdr:cNvGraphicFramePr/>
      </xdr:nvGraphicFramePr>
      <xdr:xfrm>
        <a:off x="1243965" y="15575915"/>
        <a:ext cx="2165350" cy="1647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>
      <xdr:nvGraphicFramePr>
        <xdr:cNvPr id="13" name="Chart 12"/>
        <xdr:cNvGraphicFramePr/>
      </xdr:nvGraphicFramePr>
      <xdr:xfrm>
        <a:off x="4488180" y="15561310"/>
        <a:ext cx="2207895" cy="1699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>
      <xdr:nvSpPr>
        <xdr:cNvPr id="15" name="TextBox 14"/>
        <xdr:cNvSpPr txBox="1"/>
      </xdr:nvSpPr>
      <xdr:spPr>
        <a:xfrm>
          <a:off x="9146540" y="1211580"/>
          <a:ext cx="8048625" cy="426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  <a:endParaRPr lang="en-US" sz="1100" baseline="0"/>
        </a:p>
        <a:p>
          <a:r>
            <a:rPr lang="en-US" sz="1100" baseline="0"/>
            <a:t>Website + Amazon + BigBasket + Flipkart + Shopclues</a:t>
          </a:r>
          <a:endParaRPr lang="en-US" sz="1100" baseline="0"/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20</xdr:row>
      <xdr:rowOff>45720</xdr:rowOff>
    </xdr:from>
    <xdr:to>
      <xdr:col>5</xdr:col>
      <xdr:colOff>819150</xdr:colOff>
      <xdr:row>21</xdr:row>
      <xdr:rowOff>175895</xdr:rowOff>
    </xdr:to>
    <xdr:sp>
      <xdr:nvSpPr>
        <xdr:cNvPr id="16" name="TextBox 15"/>
        <xdr:cNvSpPr txBox="1"/>
      </xdr:nvSpPr>
      <xdr:spPr>
        <a:xfrm>
          <a:off x="1864360" y="5120640"/>
          <a:ext cx="3480435" cy="31305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>
      <xdr:nvSpPr>
        <xdr:cNvPr id="17" name="TextBox 16"/>
        <xdr:cNvSpPr txBox="1"/>
      </xdr:nvSpPr>
      <xdr:spPr>
        <a:xfrm>
          <a:off x="1559560" y="7951470"/>
          <a:ext cx="733425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  <a:endParaRPr lang="en-US" sz="1100" b="1"/>
        </a:p>
      </xdr:txBody>
    </xdr:sp>
    <xdr:clientData/>
  </xdr:twoCellAnchor>
  <xdr:twoCellAnchor>
    <xdr:from>
      <xdr:col>1</xdr:col>
      <xdr:colOff>12700</xdr:colOff>
      <xdr:row>22</xdr:row>
      <xdr:rowOff>20320</xdr:rowOff>
    </xdr:from>
    <xdr:to>
      <xdr:col>7</xdr:col>
      <xdr:colOff>1068070</xdr:colOff>
      <xdr:row>33</xdr:row>
      <xdr:rowOff>177165</xdr:rowOff>
    </xdr:to>
    <xdr:graphicFrame>
      <xdr:nvGraphicFramePr>
        <xdr:cNvPr id="20" name="Chart 19"/>
        <xdr:cNvGraphicFramePr/>
      </xdr:nvGraphicFramePr>
      <xdr:xfrm>
        <a:off x="227965" y="5461000"/>
        <a:ext cx="7520940" cy="2168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15240</xdr:colOff>
      <xdr:row>35</xdr:row>
      <xdr:rowOff>43815</xdr:rowOff>
    </xdr:from>
    <xdr:to>
      <xdr:col>2</xdr:col>
      <xdr:colOff>1012190</xdr:colOff>
      <xdr:row>42</xdr:row>
      <xdr:rowOff>167005</xdr:rowOff>
    </xdr:to>
    <xdr:graphicFrame>
      <xdr:nvGraphicFramePr>
        <xdr:cNvPr id="21" name="Chart 20"/>
        <xdr:cNvGraphicFramePr/>
      </xdr:nvGraphicFramePr>
      <xdr:xfrm>
        <a:off x="230505" y="7871460"/>
        <a:ext cx="2074545" cy="140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568960</xdr:colOff>
      <xdr:row>35</xdr:row>
      <xdr:rowOff>36830</xdr:rowOff>
    </xdr:from>
    <xdr:to>
      <xdr:col>5</xdr:col>
      <xdr:colOff>502920</xdr:colOff>
      <xdr:row>43</xdr:row>
      <xdr:rowOff>7620</xdr:rowOff>
    </xdr:to>
    <xdr:graphicFrame>
      <xdr:nvGraphicFramePr>
        <xdr:cNvPr id="22" name="Chart 21"/>
        <xdr:cNvGraphicFramePr/>
      </xdr:nvGraphicFramePr>
      <xdr:xfrm>
        <a:off x="2939415" y="7864475"/>
        <a:ext cx="2089150" cy="1433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1049020</xdr:colOff>
      <xdr:row>35</xdr:row>
      <xdr:rowOff>68580</xdr:rowOff>
    </xdr:from>
    <xdr:to>
      <xdr:col>7</xdr:col>
      <xdr:colOff>1003935</xdr:colOff>
      <xdr:row>43</xdr:row>
      <xdr:rowOff>8255</xdr:rowOff>
    </xdr:to>
    <xdr:graphicFrame>
      <xdr:nvGraphicFramePr>
        <xdr:cNvPr id="23" name="Chart 22"/>
        <xdr:cNvGraphicFramePr/>
      </xdr:nvGraphicFramePr>
      <xdr:xfrm>
        <a:off x="5574665" y="7896225"/>
        <a:ext cx="2110105" cy="1402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33020</xdr:colOff>
      <xdr:row>44</xdr:row>
      <xdr:rowOff>32385</xdr:rowOff>
    </xdr:from>
    <xdr:to>
      <xdr:col>3</xdr:col>
      <xdr:colOff>1076325</xdr:colOff>
      <xdr:row>51</xdr:row>
      <xdr:rowOff>149225</xdr:rowOff>
    </xdr:to>
    <xdr:graphicFrame>
      <xdr:nvGraphicFramePr>
        <xdr:cNvPr id="24" name="Chart 23"/>
        <xdr:cNvGraphicFramePr/>
      </xdr:nvGraphicFramePr>
      <xdr:xfrm>
        <a:off x="1325880" y="9505950"/>
        <a:ext cx="2120900" cy="139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101600</xdr:colOff>
      <xdr:row>44</xdr:row>
      <xdr:rowOff>50165</xdr:rowOff>
    </xdr:from>
    <xdr:to>
      <xdr:col>7</xdr:col>
      <xdr:colOff>46990</xdr:colOff>
      <xdr:row>51</xdr:row>
      <xdr:rowOff>157480</xdr:rowOff>
    </xdr:to>
    <xdr:graphicFrame>
      <xdr:nvGraphicFramePr>
        <xdr:cNvPr id="25" name="Chart 24"/>
        <xdr:cNvGraphicFramePr/>
      </xdr:nvGraphicFramePr>
      <xdr:xfrm>
        <a:off x="4627245" y="9523730"/>
        <a:ext cx="2100580" cy="138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0.51679</cdr:x>
      <cdr:y>0.03284</cdr:y>
    </cdr:from>
    <cdr:to>
      <cdr:x>0.93657</cdr:x>
      <cdr:y>0.19294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055370" y="50800"/>
          <a:ext cx="857250" cy="247650"/>
        </a:xfrm>
        <a:prstGeom xmlns:a="http://schemas.openxmlformats.org/drawingml/2006/main"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Amazon</a:t>
          </a:r>
          <a:endParaRPr lang="en-US" sz="11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0.95369</cdr:x>
      <cdr:y>0.19583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207770" y="50800"/>
          <a:ext cx="809625" cy="247650"/>
        </a:xfrm>
        <a:prstGeom xmlns:a="http://schemas.openxmlformats.org/drawingml/2006/main"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Big Basket</a:t>
          </a:r>
          <a:endParaRPr lang="en-US" sz="11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Flipkart</a:t>
          </a:r>
          <a:endParaRPr lang="en-US" sz="1100" b="1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Shopclues</a:t>
          </a:r>
          <a:endParaRPr lang="en-US" sz="11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P36"/>
  <sheetViews>
    <sheetView topLeftCell="B8" workbookViewId="0">
      <selection activeCell="E8" sqref="E8"/>
    </sheetView>
  </sheetViews>
  <sheetFormatPr defaultColWidth="9" defaultRowHeight="13.8"/>
  <cols>
    <col min="1" max="1" width="3.13888888888889" style="34" customWidth="1"/>
    <col min="2" max="3" width="11.287037037037" style="34" customWidth="1"/>
    <col min="4" max="4" width="10.5740740740741" style="34" customWidth="1"/>
    <col min="5" max="5" width="11.4259259259259" style="34" customWidth="1"/>
    <col min="6" max="6" width="17.4259259259259" style="34" customWidth="1"/>
    <col min="7" max="7" width="13.712962962963" style="34" customWidth="1"/>
    <col min="8" max="8" width="12.5740740740741" style="34" customWidth="1"/>
    <col min="9" max="9" width="8.42592592592593" style="34" customWidth="1"/>
    <col min="10" max="10" width="10" style="34" customWidth="1"/>
    <col min="11" max="11" width="14.8518518518519" style="34" customWidth="1"/>
    <col min="12" max="12" width="11.712962962963" style="34" customWidth="1"/>
    <col min="13" max="13" width="3.13888888888889" style="34" customWidth="1"/>
    <col min="14" max="16" width="10.287037037037" style="34" customWidth="1"/>
    <col min="17" max="17" width="12.287037037037" style="34" customWidth="1"/>
    <col min="18" max="18" width="10.5740740740741" style="34" customWidth="1"/>
    <col min="19" max="19" width="12.1388888888889" style="34" customWidth="1"/>
    <col min="20" max="16384" width="9.13888888888889" style="34"/>
  </cols>
  <sheetData>
    <row r="5" ht="14.55" spans="1:13">
      <c r="A5" s="31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ht="31.95" spans="1:13">
      <c r="A6" s="31"/>
      <c r="B6" s="36" t="s">
        <v>0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5"/>
    </row>
    <row r="7" ht="18.15" spans="1:13">
      <c r="A7" s="31"/>
      <c r="B7" s="16" t="s">
        <v>1</v>
      </c>
      <c r="C7" s="16" t="s">
        <v>2</v>
      </c>
      <c r="D7" s="16" t="s">
        <v>3</v>
      </c>
      <c r="E7" s="16" t="s">
        <v>4</v>
      </c>
      <c r="F7" s="16" t="s">
        <v>5</v>
      </c>
      <c r="G7" s="16" t="s">
        <v>6</v>
      </c>
      <c r="H7" s="16" t="s">
        <v>7</v>
      </c>
      <c r="I7" s="16" t="s">
        <v>8</v>
      </c>
      <c r="J7" s="16" t="s">
        <v>9</v>
      </c>
      <c r="K7" s="16" t="s">
        <v>10</v>
      </c>
      <c r="L7" s="16" t="s">
        <v>11</v>
      </c>
      <c r="M7" s="42"/>
    </row>
    <row r="8" ht="14.55" spans="1:13">
      <c r="A8" s="31"/>
      <c r="B8" s="37">
        <v>43009</v>
      </c>
      <c r="C8" s="38" t="str">
        <f>TEXT(B8,"dddd")</f>
        <v>Sunday</v>
      </c>
      <c r="D8" s="39" t="s">
        <v>12</v>
      </c>
      <c r="E8" s="39">
        <v>25</v>
      </c>
      <c r="F8" s="40" t="s">
        <v>13</v>
      </c>
      <c r="G8" s="41">
        <v>10</v>
      </c>
      <c r="H8" s="41">
        <v>15</v>
      </c>
      <c r="I8" s="41">
        <f>H8-G8</f>
        <v>5</v>
      </c>
      <c r="J8" s="43">
        <f>I8/H8</f>
        <v>0.333333333333333</v>
      </c>
      <c r="K8" s="41">
        <f>I8*E8</f>
        <v>125</v>
      </c>
      <c r="L8" s="41">
        <f>H8*E8</f>
        <v>375</v>
      </c>
      <c r="M8" s="42"/>
    </row>
    <row r="9" ht="14.55" spans="1:13">
      <c r="A9" s="31"/>
      <c r="B9" s="37">
        <v>43009</v>
      </c>
      <c r="C9" s="38" t="str">
        <f t="shared" ref="C9:C35" si="0">TEXT(B9,"dddd")</f>
        <v>Sunday</v>
      </c>
      <c r="D9" s="39" t="s">
        <v>12</v>
      </c>
      <c r="E9" s="39">
        <v>10</v>
      </c>
      <c r="F9" s="40" t="s">
        <v>14</v>
      </c>
      <c r="G9" s="41">
        <v>10</v>
      </c>
      <c r="H9" s="41">
        <v>15</v>
      </c>
      <c r="I9" s="41">
        <f>H9-G9</f>
        <v>5</v>
      </c>
      <c r="J9" s="43">
        <f>I9/H9</f>
        <v>0.333333333333333</v>
      </c>
      <c r="K9" s="41">
        <f>I9*E9</f>
        <v>50</v>
      </c>
      <c r="L9" s="41">
        <f>H9*E9</f>
        <v>150</v>
      </c>
      <c r="M9" s="42"/>
    </row>
    <row r="10" ht="14.55" spans="1:13">
      <c r="A10" s="31"/>
      <c r="B10" s="37">
        <v>43009</v>
      </c>
      <c r="C10" s="38" t="str">
        <f t="shared" si="0"/>
        <v>Sunday</v>
      </c>
      <c r="D10" s="39" t="s">
        <v>15</v>
      </c>
      <c r="E10" s="39">
        <v>50</v>
      </c>
      <c r="F10" s="40" t="s">
        <v>13</v>
      </c>
      <c r="G10" s="41">
        <v>8</v>
      </c>
      <c r="H10" s="41">
        <v>10</v>
      </c>
      <c r="I10" s="41">
        <f>H10-G10</f>
        <v>2</v>
      </c>
      <c r="J10" s="43">
        <f>I10/H10</f>
        <v>0.2</v>
      </c>
      <c r="K10" s="41">
        <f>I10*E10</f>
        <v>100</v>
      </c>
      <c r="L10" s="41">
        <f>H10*E10</f>
        <v>500</v>
      </c>
      <c r="M10" s="42"/>
    </row>
    <row r="11" ht="14.55" spans="1:13">
      <c r="A11" s="31"/>
      <c r="B11" s="37">
        <v>43010</v>
      </c>
      <c r="C11" s="38" t="str">
        <f t="shared" si="0"/>
        <v>Monday</v>
      </c>
      <c r="D11" s="39" t="s">
        <v>16</v>
      </c>
      <c r="E11" s="39">
        <v>25</v>
      </c>
      <c r="F11" s="40" t="s">
        <v>17</v>
      </c>
      <c r="G11" s="41">
        <v>5</v>
      </c>
      <c r="H11" s="41">
        <v>10</v>
      </c>
      <c r="I11" s="41">
        <f>H11-G11</f>
        <v>5</v>
      </c>
      <c r="J11" s="43">
        <f>I11/H11</f>
        <v>0.5</v>
      </c>
      <c r="K11" s="41">
        <f>I11*E11</f>
        <v>125</v>
      </c>
      <c r="L11" s="41">
        <f>H11*E11</f>
        <v>250</v>
      </c>
      <c r="M11" s="42"/>
    </row>
    <row r="12" ht="14.55" spans="1:13">
      <c r="A12" s="31"/>
      <c r="B12" s="37">
        <v>43010</v>
      </c>
      <c r="C12" s="38" t="str">
        <f t="shared" si="0"/>
        <v>Monday</v>
      </c>
      <c r="D12" s="39" t="s">
        <v>18</v>
      </c>
      <c r="E12" s="39">
        <v>25</v>
      </c>
      <c r="F12" s="40" t="s">
        <v>14</v>
      </c>
      <c r="G12" s="41">
        <v>12</v>
      </c>
      <c r="H12" s="41">
        <v>20</v>
      </c>
      <c r="I12" s="41">
        <f>H12-G12</f>
        <v>8</v>
      </c>
      <c r="J12" s="43">
        <f t="shared" ref="J12:J35" si="1">I12/H12</f>
        <v>0.4</v>
      </c>
      <c r="K12" s="41">
        <f>I12*E12</f>
        <v>200</v>
      </c>
      <c r="L12" s="41">
        <f>H12*E12</f>
        <v>500</v>
      </c>
      <c r="M12" s="42"/>
    </row>
    <row r="13" ht="14.55" spans="1:13">
      <c r="A13" s="31"/>
      <c r="B13" s="37">
        <v>43012</v>
      </c>
      <c r="C13" s="38" t="str">
        <f t="shared" si="0"/>
        <v>Wednesday</v>
      </c>
      <c r="D13" s="39" t="s">
        <v>15</v>
      </c>
      <c r="E13" s="39">
        <v>10</v>
      </c>
      <c r="F13" s="40" t="s">
        <v>13</v>
      </c>
      <c r="G13" s="41">
        <v>8</v>
      </c>
      <c r="H13" s="41">
        <v>10</v>
      </c>
      <c r="I13" s="41">
        <f t="shared" ref="I13:I35" si="2">H13-G13</f>
        <v>2</v>
      </c>
      <c r="J13" s="43">
        <f t="shared" si="1"/>
        <v>0.2</v>
      </c>
      <c r="K13" s="41">
        <f t="shared" ref="K13:K35" si="3">I13*E13</f>
        <v>20</v>
      </c>
      <c r="L13" s="41">
        <f>H13*E13</f>
        <v>100</v>
      </c>
      <c r="M13" s="42"/>
    </row>
    <row r="14" ht="14.55" spans="1:13">
      <c r="A14" s="31"/>
      <c r="B14" s="37">
        <v>43012</v>
      </c>
      <c r="C14" s="38" t="str">
        <f t="shared" si="0"/>
        <v>Wednesday</v>
      </c>
      <c r="D14" s="39" t="s">
        <v>19</v>
      </c>
      <c r="E14" s="39">
        <v>20</v>
      </c>
      <c r="F14" s="40" t="s">
        <v>20</v>
      </c>
      <c r="G14" s="41">
        <v>20</v>
      </c>
      <c r="H14" s="41">
        <v>30</v>
      </c>
      <c r="I14" s="41">
        <f t="shared" si="2"/>
        <v>10</v>
      </c>
      <c r="J14" s="43">
        <f t="shared" si="1"/>
        <v>0.333333333333333</v>
      </c>
      <c r="K14" s="41">
        <f t="shared" si="3"/>
        <v>200</v>
      </c>
      <c r="L14" s="41">
        <f t="shared" ref="L14:L35" si="4">H14*E14</f>
        <v>600</v>
      </c>
      <c r="M14" s="42"/>
    </row>
    <row r="15" ht="14.55" spans="1:16">
      <c r="A15" s="31"/>
      <c r="B15" s="37">
        <v>43013</v>
      </c>
      <c r="C15" s="38" t="str">
        <f t="shared" si="0"/>
        <v>Thursday</v>
      </c>
      <c r="D15" s="39" t="s">
        <v>18</v>
      </c>
      <c r="E15" s="39">
        <v>40</v>
      </c>
      <c r="F15" s="40" t="s">
        <v>13</v>
      </c>
      <c r="G15" s="41">
        <v>12</v>
      </c>
      <c r="H15" s="41">
        <v>20</v>
      </c>
      <c r="I15" s="41">
        <f t="shared" si="2"/>
        <v>8</v>
      </c>
      <c r="J15" s="43">
        <f t="shared" si="1"/>
        <v>0.4</v>
      </c>
      <c r="K15" s="41">
        <f t="shared" si="3"/>
        <v>320</v>
      </c>
      <c r="L15" s="41">
        <f t="shared" si="4"/>
        <v>800</v>
      </c>
      <c r="M15" s="42"/>
      <c r="N15" s="44"/>
      <c r="O15" s="45"/>
      <c r="P15" s="45"/>
    </row>
    <row r="16" ht="14.55" spans="1:13">
      <c r="A16" s="31"/>
      <c r="B16" s="37">
        <v>43013</v>
      </c>
      <c r="C16" s="38" t="str">
        <f t="shared" si="0"/>
        <v>Thursday</v>
      </c>
      <c r="D16" s="39" t="s">
        <v>19</v>
      </c>
      <c r="E16" s="39">
        <v>50</v>
      </c>
      <c r="F16" s="40" t="s">
        <v>20</v>
      </c>
      <c r="G16" s="41">
        <v>20</v>
      </c>
      <c r="H16" s="41">
        <v>30</v>
      </c>
      <c r="I16" s="41">
        <f t="shared" si="2"/>
        <v>10</v>
      </c>
      <c r="J16" s="43">
        <f t="shared" si="1"/>
        <v>0.333333333333333</v>
      </c>
      <c r="K16" s="41">
        <f t="shared" si="3"/>
        <v>500</v>
      </c>
      <c r="L16" s="41">
        <f t="shared" si="4"/>
        <v>1500</v>
      </c>
      <c r="M16" s="42"/>
    </row>
    <row r="17" ht="14.55" spans="1:13">
      <c r="A17" s="31"/>
      <c r="B17" s="37">
        <v>43014</v>
      </c>
      <c r="C17" s="38" t="str">
        <f t="shared" si="0"/>
        <v>Friday</v>
      </c>
      <c r="D17" s="39" t="s">
        <v>15</v>
      </c>
      <c r="E17" s="39">
        <v>100</v>
      </c>
      <c r="F17" s="40" t="s">
        <v>20</v>
      </c>
      <c r="G17" s="41">
        <v>8</v>
      </c>
      <c r="H17" s="41">
        <v>10</v>
      </c>
      <c r="I17" s="41">
        <f t="shared" si="2"/>
        <v>2</v>
      </c>
      <c r="J17" s="43">
        <f t="shared" si="1"/>
        <v>0.2</v>
      </c>
      <c r="K17" s="41">
        <f t="shared" si="3"/>
        <v>200</v>
      </c>
      <c r="L17" s="41">
        <f t="shared" si="4"/>
        <v>1000</v>
      </c>
      <c r="M17" s="42"/>
    </row>
    <row r="18" ht="14.55" spans="1:13">
      <c r="A18" s="31"/>
      <c r="B18" s="37">
        <v>43015</v>
      </c>
      <c r="C18" s="38" t="str">
        <f t="shared" si="0"/>
        <v>Saturday</v>
      </c>
      <c r="D18" s="39" t="s">
        <v>19</v>
      </c>
      <c r="E18" s="39">
        <v>25</v>
      </c>
      <c r="F18" s="40" t="s">
        <v>17</v>
      </c>
      <c r="G18" s="41">
        <v>20</v>
      </c>
      <c r="H18" s="41">
        <v>30</v>
      </c>
      <c r="I18" s="41">
        <f t="shared" si="2"/>
        <v>10</v>
      </c>
      <c r="J18" s="43">
        <f t="shared" si="1"/>
        <v>0.333333333333333</v>
      </c>
      <c r="K18" s="41">
        <f t="shared" si="3"/>
        <v>250</v>
      </c>
      <c r="L18" s="41">
        <f t="shared" si="4"/>
        <v>750</v>
      </c>
      <c r="M18" s="42"/>
    </row>
    <row r="19" ht="14.55" spans="1:13">
      <c r="A19" s="31"/>
      <c r="B19" s="37">
        <v>43016</v>
      </c>
      <c r="C19" s="38" t="str">
        <f t="shared" si="0"/>
        <v>Sunday</v>
      </c>
      <c r="D19" s="39" t="s">
        <v>12</v>
      </c>
      <c r="E19" s="39">
        <v>40</v>
      </c>
      <c r="F19" s="40" t="s">
        <v>17</v>
      </c>
      <c r="G19" s="41">
        <v>10</v>
      </c>
      <c r="H19" s="41">
        <v>15</v>
      </c>
      <c r="I19" s="41">
        <f t="shared" si="2"/>
        <v>5</v>
      </c>
      <c r="J19" s="43">
        <f t="shared" si="1"/>
        <v>0.333333333333333</v>
      </c>
      <c r="K19" s="41">
        <f t="shared" si="3"/>
        <v>200</v>
      </c>
      <c r="L19" s="41">
        <f t="shared" si="4"/>
        <v>600</v>
      </c>
      <c r="M19" s="42"/>
    </row>
    <row r="20" ht="14.55" spans="1:13">
      <c r="A20" s="31"/>
      <c r="B20" s="37">
        <v>43018</v>
      </c>
      <c r="C20" s="38" t="str">
        <f t="shared" si="0"/>
        <v>Tuesday</v>
      </c>
      <c r="D20" s="39" t="s">
        <v>16</v>
      </c>
      <c r="E20" s="39">
        <v>20</v>
      </c>
      <c r="F20" s="40" t="s">
        <v>14</v>
      </c>
      <c r="G20" s="41">
        <v>5</v>
      </c>
      <c r="H20" s="41">
        <v>10</v>
      </c>
      <c r="I20" s="41">
        <f t="shared" si="2"/>
        <v>5</v>
      </c>
      <c r="J20" s="43">
        <f t="shared" si="1"/>
        <v>0.5</v>
      </c>
      <c r="K20" s="41">
        <f t="shared" si="3"/>
        <v>100</v>
      </c>
      <c r="L20" s="41">
        <f t="shared" si="4"/>
        <v>200</v>
      </c>
      <c r="M20" s="42"/>
    </row>
    <row r="21" ht="14.55" spans="1:13">
      <c r="A21" s="31"/>
      <c r="B21" s="37">
        <v>43018</v>
      </c>
      <c r="C21" s="38" t="str">
        <f t="shared" si="0"/>
        <v>Tuesday</v>
      </c>
      <c r="D21" s="39" t="s">
        <v>18</v>
      </c>
      <c r="E21" s="39">
        <v>100</v>
      </c>
      <c r="F21" s="40" t="s">
        <v>21</v>
      </c>
      <c r="G21" s="41">
        <v>12</v>
      </c>
      <c r="H21" s="41">
        <v>20</v>
      </c>
      <c r="I21" s="41">
        <f t="shared" si="2"/>
        <v>8</v>
      </c>
      <c r="J21" s="43">
        <f t="shared" si="1"/>
        <v>0.4</v>
      </c>
      <c r="K21" s="41">
        <f t="shared" si="3"/>
        <v>800</v>
      </c>
      <c r="L21" s="41">
        <f t="shared" si="4"/>
        <v>2000</v>
      </c>
      <c r="M21" s="42"/>
    </row>
    <row r="22" ht="14.55" spans="1:13">
      <c r="A22" s="31"/>
      <c r="B22" s="37">
        <v>43019</v>
      </c>
      <c r="C22" s="38" t="str">
        <f t="shared" si="0"/>
        <v>Wednesday</v>
      </c>
      <c r="D22" s="39" t="s">
        <v>18</v>
      </c>
      <c r="E22" s="39">
        <v>25</v>
      </c>
      <c r="F22" s="40" t="s">
        <v>14</v>
      </c>
      <c r="G22" s="41">
        <v>12</v>
      </c>
      <c r="H22" s="41">
        <v>20</v>
      </c>
      <c r="I22" s="41">
        <f t="shared" si="2"/>
        <v>8</v>
      </c>
      <c r="J22" s="43">
        <f t="shared" si="1"/>
        <v>0.4</v>
      </c>
      <c r="K22" s="41">
        <f t="shared" si="3"/>
        <v>200</v>
      </c>
      <c r="L22" s="41">
        <f t="shared" si="4"/>
        <v>500</v>
      </c>
      <c r="M22" s="42"/>
    </row>
    <row r="23" ht="14.55" spans="1:13">
      <c r="A23" s="31"/>
      <c r="B23" s="37">
        <v>43021</v>
      </c>
      <c r="C23" s="38" t="str">
        <f t="shared" si="0"/>
        <v>Friday</v>
      </c>
      <c r="D23" s="39" t="s">
        <v>16</v>
      </c>
      <c r="E23" s="39">
        <v>40</v>
      </c>
      <c r="F23" s="40" t="s">
        <v>17</v>
      </c>
      <c r="G23" s="41">
        <v>5</v>
      </c>
      <c r="H23" s="41">
        <v>10</v>
      </c>
      <c r="I23" s="41">
        <f t="shared" si="2"/>
        <v>5</v>
      </c>
      <c r="J23" s="43">
        <f t="shared" si="1"/>
        <v>0.5</v>
      </c>
      <c r="K23" s="41">
        <f t="shared" si="3"/>
        <v>200</v>
      </c>
      <c r="L23" s="41">
        <f t="shared" si="4"/>
        <v>400</v>
      </c>
      <c r="M23" s="42"/>
    </row>
    <row r="24" ht="14.55" spans="1:13">
      <c r="A24" s="31"/>
      <c r="B24" s="37">
        <v>43022</v>
      </c>
      <c r="C24" s="38" t="str">
        <f t="shared" si="0"/>
        <v>Saturday</v>
      </c>
      <c r="D24" s="39" t="s">
        <v>19</v>
      </c>
      <c r="E24" s="39">
        <v>25</v>
      </c>
      <c r="F24" s="40" t="s">
        <v>14</v>
      </c>
      <c r="G24" s="41">
        <v>20</v>
      </c>
      <c r="H24" s="41">
        <v>30</v>
      </c>
      <c r="I24" s="41">
        <f t="shared" si="2"/>
        <v>10</v>
      </c>
      <c r="J24" s="43">
        <f t="shared" si="1"/>
        <v>0.333333333333333</v>
      </c>
      <c r="K24" s="41">
        <f t="shared" si="3"/>
        <v>250</v>
      </c>
      <c r="L24" s="41">
        <f t="shared" si="4"/>
        <v>750</v>
      </c>
      <c r="M24" s="42"/>
    </row>
    <row r="25" ht="14.55" spans="1:13">
      <c r="A25" s="31"/>
      <c r="B25" s="37">
        <v>43024</v>
      </c>
      <c r="C25" s="38" t="str">
        <f t="shared" si="0"/>
        <v>Monday</v>
      </c>
      <c r="D25" s="39" t="s">
        <v>16</v>
      </c>
      <c r="E25" s="39">
        <v>50</v>
      </c>
      <c r="F25" s="40" t="s">
        <v>20</v>
      </c>
      <c r="G25" s="41">
        <v>5</v>
      </c>
      <c r="H25" s="41">
        <v>10</v>
      </c>
      <c r="I25" s="41">
        <f t="shared" si="2"/>
        <v>5</v>
      </c>
      <c r="J25" s="43">
        <f t="shared" si="1"/>
        <v>0.5</v>
      </c>
      <c r="K25" s="41">
        <f t="shared" si="3"/>
        <v>250</v>
      </c>
      <c r="L25" s="41">
        <f t="shared" si="4"/>
        <v>500</v>
      </c>
      <c r="M25" s="42"/>
    </row>
    <row r="26" ht="14.55" spans="1:13">
      <c r="A26" s="31"/>
      <c r="B26" s="37">
        <v>43024</v>
      </c>
      <c r="C26" s="38" t="str">
        <f t="shared" si="0"/>
        <v>Monday</v>
      </c>
      <c r="D26" s="39" t="s">
        <v>18</v>
      </c>
      <c r="E26" s="39">
        <v>30</v>
      </c>
      <c r="F26" s="40" t="s">
        <v>14</v>
      </c>
      <c r="G26" s="41">
        <v>12</v>
      </c>
      <c r="H26" s="41">
        <v>20</v>
      </c>
      <c r="I26" s="41">
        <f t="shared" si="2"/>
        <v>8</v>
      </c>
      <c r="J26" s="43">
        <f t="shared" si="1"/>
        <v>0.4</v>
      </c>
      <c r="K26" s="41">
        <f t="shared" si="3"/>
        <v>240</v>
      </c>
      <c r="L26" s="41">
        <f t="shared" si="4"/>
        <v>600</v>
      </c>
      <c r="M26" s="42"/>
    </row>
    <row r="27" ht="14.55" spans="1:13">
      <c r="A27" s="31"/>
      <c r="B27" s="37">
        <v>43025</v>
      </c>
      <c r="C27" s="38" t="str">
        <f t="shared" si="0"/>
        <v>Tuesday</v>
      </c>
      <c r="D27" s="39" t="s">
        <v>19</v>
      </c>
      <c r="E27" s="39">
        <v>25</v>
      </c>
      <c r="F27" s="40" t="s">
        <v>21</v>
      </c>
      <c r="G27" s="41">
        <v>20</v>
      </c>
      <c r="H27" s="41">
        <v>30</v>
      </c>
      <c r="I27" s="41">
        <f t="shared" si="2"/>
        <v>10</v>
      </c>
      <c r="J27" s="43">
        <f t="shared" si="1"/>
        <v>0.333333333333333</v>
      </c>
      <c r="K27" s="41">
        <f t="shared" si="3"/>
        <v>250</v>
      </c>
      <c r="L27" s="41">
        <f t="shared" si="4"/>
        <v>750</v>
      </c>
      <c r="M27" s="42"/>
    </row>
    <row r="28" ht="14.55" spans="1:13">
      <c r="A28" s="31"/>
      <c r="B28" s="37">
        <v>43029</v>
      </c>
      <c r="C28" s="38" t="str">
        <f t="shared" si="0"/>
        <v>Saturday</v>
      </c>
      <c r="D28" s="39" t="s">
        <v>16</v>
      </c>
      <c r="E28" s="39">
        <v>60</v>
      </c>
      <c r="F28" s="40" t="s">
        <v>13</v>
      </c>
      <c r="G28" s="41">
        <v>5</v>
      </c>
      <c r="H28" s="41">
        <v>10</v>
      </c>
      <c r="I28" s="41">
        <f t="shared" si="2"/>
        <v>5</v>
      </c>
      <c r="J28" s="43">
        <f t="shared" si="1"/>
        <v>0.5</v>
      </c>
      <c r="K28" s="41">
        <f t="shared" si="3"/>
        <v>300</v>
      </c>
      <c r="L28" s="41">
        <f t="shared" si="4"/>
        <v>600</v>
      </c>
      <c r="M28" s="42"/>
    </row>
    <row r="29" ht="14.55" spans="1:13">
      <c r="A29" s="31"/>
      <c r="B29" s="37">
        <v>43030</v>
      </c>
      <c r="C29" s="38" t="str">
        <f t="shared" si="0"/>
        <v>Sunday</v>
      </c>
      <c r="D29" s="39" t="s">
        <v>15</v>
      </c>
      <c r="E29" s="39">
        <v>100</v>
      </c>
      <c r="F29" s="40" t="s">
        <v>20</v>
      </c>
      <c r="G29" s="41">
        <v>8</v>
      </c>
      <c r="H29" s="41">
        <v>10</v>
      </c>
      <c r="I29" s="41">
        <f t="shared" si="2"/>
        <v>2</v>
      </c>
      <c r="J29" s="43">
        <f t="shared" si="1"/>
        <v>0.2</v>
      </c>
      <c r="K29" s="41">
        <f t="shared" si="3"/>
        <v>200</v>
      </c>
      <c r="L29" s="41">
        <f t="shared" si="4"/>
        <v>1000</v>
      </c>
      <c r="M29" s="42"/>
    </row>
    <row r="30" ht="14.55" spans="1:13">
      <c r="A30" s="31"/>
      <c r="B30" s="37">
        <v>43032</v>
      </c>
      <c r="C30" s="38" t="str">
        <f t="shared" si="0"/>
        <v>Tuesday</v>
      </c>
      <c r="D30" s="39" t="s">
        <v>19</v>
      </c>
      <c r="E30" s="39">
        <v>20</v>
      </c>
      <c r="F30" s="40" t="s">
        <v>14</v>
      </c>
      <c r="G30" s="41">
        <v>20</v>
      </c>
      <c r="H30" s="41">
        <v>30</v>
      </c>
      <c r="I30" s="41">
        <f t="shared" si="2"/>
        <v>10</v>
      </c>
      <c r="J30" s="43">
        <f t="shared" si="1"/>
        <v>0.333333333333333</v>
      </c>
      <c r="K30" s="41">
        <f t="shared" si="3"/>
        <v>200</v>
      </c>
      <c r="L30" s="41">
        <f t="shared" si="4"/>
        <v>600</v>
      </c>
      <c r="M30" s="42"/>
    </row>
    <row r="31" ht="14.55" spans="1:13">
      <c r="A31" s="31"/>
      <c r="B31" s="37">
        <v>43032</v>
      </c>
      <c r="C31" s="38" t="str">
        <f t="shared" si="0"/>
        <v>Tuesday</v>
      </c>
      <c r="D31" s="39" t="s">
        <v>18</v>
      </c>
      <c r="E31" s="39">
        <v>40</v>
      </c>
      <c r="F31" s="40" t="s">
        <v>20</v>
      </c>
      <c r="G31" s="41">
        <v>12</v>
      </c>
      <c r="H31" s="41">
        <v>20</v>
      </c>
      <c r="I31" s="41">
        <f t="shared" si="2"/>
        <v>8</v>
      </c>
      <c r="J31" s="43">
        <f t="shared" si="1"/>
        <v>0.4</v>
      </c>
      <c r="K31" s="41">
        <f t="shared" si="3"/>
        <v>320</v>
      </c>
      <c r="L31" s="41">
        <f t="shared" si="4"/>
        <v>800</v>
      </c>
      <c r="M31" s="42"/>
    </row>
    <row r="32" ht="14.55" spans="1:13">
      <c r="A32" s="31"/>
      <c r="B32" s="37">
        <v>43035</v>
      </c>
      <c r="C32" s="38" t="str">
        <f t="shared" si="0"/>
        <v>Friday</v>
      </c>
      <c r="D32" s="39" t="s">
        <v>16</v>
      </c>
      <c r="E32" s="39">
        <v>50</v>
      </c>
      <c r="F32" s="40" t="s">
        <v>21</v>
      </c>
      <c r="G32" s="41">
        <v>5</v>
      </c>
      <c r="H32" s="41">
        <v>10</v>
      </c>
      <c r="I32" s="41">
        <f t="shared" si="2"/>
        <v>5</v>
      </c>
      <c r="J32" s="43">
        <f t="shared" si="1"/>
        <v>0.5</v>
      </c>
      <c r="K32" s="41">
        <f t="shared" si="3"/>
        <v>250</v>
      </c>
      <c r="L32" s="41">
        <f t="shared" si="4"/>
        <v>500</v>
      </c>
      <c r="M32" s="42"/>
    </row>
    <row r="33" ht="14.55" spans="1:13">
      <c r="A33" s="31"/>
      <c r="B33" s="37">
        <v>43036</v>
      </c>
      <c r="C33" s="38" t="str">
        <f t="shared" si="0"/>
        <v>Saturday</v>
      </c>
      <c r="D33" s="39" t="s">
        <v>16</v>
      </c>
      <c r="E33" s="39">
        <v>50</v>
      </c>
      <c r="F33" s="40" t="s">
        <v>17</v>
      </c>
      <c r="G33" s="41">
        <v>5</v>
      </c>
      <c r="H33" s="41">
        <v>10</v>
      </c>
      <c r="I33" s="41">
        <f t="shared" si="2"/>
        <v>5</v>
      </c>
      <c r="J33" s="43">
        <f t="shared" si="1"/>
        <v>0.5</v>
      </c>
      <c r="K33" s="41">
        <f t="shared" si="3"/>
        <v>250</v>
      </c>
      <c r="L33" s="41">
        <f t="shared" si="4"/>
        <v>500</v>
      </c>
      <c r="M33" s="42"/>
    </row>
    <row r="34" ht="14.55" spans="1:13">
      <c r="A34" s="31"/>
      <c r="B34" s="37">
        <v>43038</v>
      </c>
      <c r="C34" s="38" t="str">
        <f t="shared" si="0"/>
        <v>Monday</v>
      </c>
      <c r="D34" s="39" t="s">
        <v>12</v>
      </c>
      <c r="E34" s="39">
        <v>50</v>
      </c>
      <c r="F34" s="40" t="s">
        <v>21</v>
      </c>
      <c r="G34" s="41">
        <v>10</v>
      </c>
      <c r="H34" s="41">
        <v>15</v>
      </c>
      <c r="I34" s="41">
        <f t="shared" si="2"/>
        <v>5</v>
      </c>
      <c r="J34" s="43">
        <f t="shared" si="1"/>
        <v>0.333333333333333</v>
      </c>
      <c r="K34" s="41">
        <f t="shared" si="3"/>
        <v>250</v>
      </c>
      <c r="L34" s="41">
        <f t="shared" si="4"/>
        <v>750</v>
      </c>
      <c r="M34" s="42"/>
    </row>
    <row r="35" ht="14.55" spans="1:13">
      <c r="A35" s="31"/>
      <c r="B35" s="37">
        <v>43038</v>
      </c>
      <c r="C35" s="38" t="str">
        <f t="shared" si="0"/>
        <v>Monday</v>
      </c>
      <c r="D35" s="39" t="s">
        <v>19</v>
      </c>
      <c r="E35" s="39">
        <v>20</v>
      </c>
      <c r="F35" s="40" t="s">
        <v>13</v>
      </c>
      <c r="G35" s="41">
        <v>20</v>
      </c>
      <c r="H35" s="41">
        <v>30</v>
      </c>
      <c r="I35" s="41">
        <f t="shared" si="2"/>
        <v>10</v>
      </c>
      <c r="J35" s="43">
        <f t="shared" si="1"/>
        <v>0.333333333333333</v>
      </c>
      <c r="K35" s="41">
        <f t="shared" si="3"/>
        <v>200</v>
      </c>
      <c r="L35" s="41">
        <f t="shared" si="4"/>
        <v>600</v>
      </c>
      <c r="M35" s="42"/>
    </row>
    <row r="36" spans="1:13">
      <c r="A36" s="3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</sheetData>
  <mergeCells count="1">
    <mergeCell ref="B6:L6"/>
  </mergeCells>
  <dataValidations count="1">
    <dataValidation type="list" allowBlank="1" showInputMessage="1" showErrorMessage="1" sqref="C7:C34 E7:E34">
      <formula1>[1]Database!#REF!</formula1>
    </dataValidation>
  </dataValidations>
  <pageMargins left="0.7" right="0.7" top="0.75" bottom="0.75" header="0.3" footer="0.3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47"/>
  <sheetViews>
    <sheetView tabSelected="1" workbookViewId="0">
      <selection activeCell="K45" sqref="K45"/>
    </sheetView>
  </sheetViews>
  <sheetFormatPr defaultColWidth="9" defaultRowHeight="14.4"/>
  <cols>
    <col min="1" max="1" width="3.13888888888889" style="2" customWidth="1"/>
    <col min="2" max="8" width="15.712962962963" style="2" customWidth="1"/>
    <col min="9" max="9" width="3.13888888888889" style="2" customWidth="1"/>
    <col min="10" max="13" width="15.712962962963" style="2" customWidth="1"/>
    <col min="14" max="16384" width="9.13888888888889" style="2"/>
  </cols>
  <sheetData>
    <row r="1" ht="15.15" spans="1:9">
      <c r="A1" s="1"/>
      <c r="B1" s="1"/>
      <c r="C1" s="1"/>
      <c r="D1" s="1"/>
      <c r="E1" s="1"/>
      <c r="F1" s="1"/>
      <c r="G1" s="1"/>
      <c r="H1" s="1"/>
      <c r="I1" s="1"/>
    </row>
    <row r="2" ht="50.25" customHeight="1" spans="1:9">
      <c r="A2" s="1"/>
      <c r="B2" s="3"/>
      <c r="C2" s="3"/>
      <c r="D2" s="3"/>
      <c r="E2" s="3"/>
      <c r="F2" s="3"/>
      <c r="G2" s="3"/>
      <c r="H2" s="4"/>
      <c r="I2" s="1"/>
    </row>
    <row r="3" ht="32.25" customHeight="1" spans="1:11">
      <c r="A3" s="1"/>
      <c r="B3" s="5" t="s">
        <v>22</v>
      </c>
      <c r="C3" s="5"/>
      <c r="D3" s="5"/>
      <c r="E3" s="5"/>
      <c r="F3" s="5"/>
      <c r="G3" s="5"/>
      <c r="H3" s="4"/>
      <c r="I3" s="1"/>
      <c r="K3" s="32" t="s">
        <v>23</v>
      </c>
    </row>
    <row r="4" ht="32.25" customHeight="1" spans="1:9">
      <c r="A4" s="1"/>
      <c r="B4" s="6" t="s">
        <v>24</v>
      </c>
      <c r="C4" s="7"/>
      <c r="D4" s="7"/>
      <c r="E4" s="7"/>
      <c r="F4" s="7"/>
      <c r="G4" s="7"/>
      <c r="H4" s="8"/>
      <c r="I4" s="1"/>
    </row>
    <row r="5" ht="25.35" spans="1:9">
      <c r="A5" s="1"/>
      <c r="B5" s="9" t="s">
        <v>25</v>
      </c>
      <c r="C5" s="10"/>
      <c r="D5" s="10"/>
      <c r="E5" s="10"/>
      <c r="F5" s="10"/>
      <c r="G5" s="10"/>
      <c r="H5" s="11"/>
      <c r="I5" s="1"/>
    </row>
    <row r="6" ht="19.35" spans="1:9">
      <c r="A6" s="1"/>
      <c r="B6" s="12" t="s">
        <v>3</v>
      </c>
      <c r="C6" s="12" t="s">
        <v>14</v>
      </c>
      <c r="D6" s="12" t="s">
        <v>13</v>
      </c>
      <c r="E6" s="12" t="s">
        <v>17</v>
      </c>
      <c r="F6" s="12" t="s">
        <v>20</v>
      </c>
      <c r="G6" s="12" t="s">
        <v>21</v>
      </c>
      <c r="H6" s="13" t="s">
        <v>26</v>
      </c>
      <c r="I6" s="1"/>
    </row>
    <row r="7" ht="15.15" spans="1:9">
      <c r="A7" s="1"/>
      <c r="B7" s="14" t="s">
        <v>12</v>
      </c>
      <c r="C7" s="14">
        <f>SUMIFS('Sales report'!$E$8:E$35,'Sales report'!$D$8:$D$35,B7,'Sales report'!$F$8:$F$35,C6)</f>
        <v>10</v>
      </c>
      <c r="D7" s="14">
        <f>SUMIFS('Sales report'!$E$8:$E$35,'Sales report'!$D$8:$D$35,B7,'Sales report'!$F$8:$F$35,D6)</f>
        <v>25</v>
      </c>
      <c r="E7" s="14">
        <f>SUMIFS('Sales report'!$E$8:$E$35,'Sales report'!$D$8:$D$35,B7,'Sales report'!$F$8:$F$35,E6)</f>
        <v>40</v>
      </c>
      <c r="F7" s="14">
        <f>SUMIFS('Sales report'!$E$8:$E$35,'Sales report'!$D$8:$D$35,B7,'Sales report'!$F$8:$F$35,F6)</f>
        <v>0</v>
      </c>
      <c r="G7" s="14">
        <f>SUMIFS('Sales report'!$E$8:$E$35,'Sales report'!$D$8:$D$35,B7,'Sales report'!$F$8:$F$35,G6)</f>
        <v>50</v>
      </c>
      <c r="H7" s="15">
        <f>SUM(C7:G7)</f>
        <v>125</v>
      </c>
      <c r="I7" s="1"/>
    </row>
    <row r="8" ht="15.15" spans="1:9">
      <c r="A8" s="1"/>
      <c r="B8" s="14" t="s">
        <v>16</v>
      </c>
      <c r="C8" s="14">
        <f>SUMIFS('Sales report'!$E$8:$E$35,'Sales report'!$D$8:$D$35,B8,'Sales report'!$F$8:$F$35,C6)</f>
        <v>20</v>
      </c>
      <c r="D8" s="14">
        <f>SUMIFS('Sales report'!$E$8:$E$35,'Sales report'!$D$8:$D$35,B8,'Sales report'!$F$8:$F$35,D6)</f>
        <v>60</v>
      </c>
      <c r="E8" s="14">
        <f>SUMIFS('Sales report'!$E$8:$E$35,'Sales report'!$D$8:$D$35,B8,'Sales report'!$F$8:$F$35,E6)</f>
        <v>115</v>
      </c>
      <c r="F8" s="14">
        <f>SUMIFS('Sales report'!$E$8:$E$35,'Sales report'!$D$8:$D$35,B8,'Sales report'!$F$8:$F$35,F6)</f>
        <v>50</v>
      </c>
      <c r="G8" s="14">
        <f>SUMIFS('Sales report'!$E$8:$E$35,'Sales report'!$D$8:$D$35,B8,'Sales report'!$F$8:$F$35,G6)</f>
        <v>50</v>
      </c>
      <c r="H8" s="15">
        <f>SUM(C8:G8)</f>
        <v>295</v>
      </c>
      <c r="I8" s="1"/>
    </row>
    <row r="9" ht="15.15" spans="1:9">
      <c r="A9" s="1"/>
      <c r="B9" s="14" t="s">
        <v>18</v>
      </c>
      <c r="C9" s="14">
        <f>SUMIFS('Sales report'!$E$8:$E$35,'Sales report'!$D$8:$D$35,B9,'Sales report'!$F$8:$F$35,C6)</f>
        <v>80</v>
      </c>
      <c r="D9" s="14">
        <f>SUMIFS('Sales report'!$E$8:$E$35,'Sales report'!$D$8:$D$35,B9,'Sales report'!$F$8:$F$35,D6)</f>
        <v>40</v>
      </c>
      <c r="E9" s="14">
        <f>SUMIFS('Sales report'!$E$8:$E$35,'Sales report'!$D$8:$D$35,B9,'Sales report'!$F$8:$F$35,E6)</f>
        <v>0</v>
      </c>
      <c r="F9" s="14">
        <f>SUMIFS('Sales report'!$E$8:$E$35,'Sales report'!$D$8:$D$35,B9,'Sales report'!$F$8:$F$35,F6)</f>
        <v>40</v>
      </c>
      <c r="G9" s="14">
        <f>SUMIFS('Sales report'!$E$8:$E$35,'Sales report'!$D$8:$D$35,B9,'Sales report'!$F$8:$F$35,G6)</f>
        <v>100</v>
      </c>
      <c r="H9" s="15">
        <f>SUM(C9:G9)</f>
        <v>260</v>
      </c>
      <c r="I9" s="1"/>
    </row>
    <row r="10" ht="15.15" spans="1:9">
      <c r="A10" s="1"/>
      <c r="B10" s="14" t="s">
        <v>19</v>
      </c>
      <c r="C10" s="14">
        <f>SUMIFS('Sales report'!$E$8:$E$35,'Sales report'!$D$8:$D$35,B10,'Sales report'!$F$8:$F$35,C6)</f>
        <v>45</v>
      </c>
      <c r="D10" s="14">
        <f>SUMIFS('Sales report'!$E$8:$E$35,'Sales report'!$D$8:$D$35,B10,'Sales report'!$F$8:$F$35,D6)</f>
        <v>20</v>
      </c>
      <c r="E10" s="14">
        <f>SUMIFS('Sales report'!$E$8:$E$35,'Sales report'!$D$8:$D$35,B10,'Sales report'!$F$8:$F$35,E6)</f>
        <v>25</v>
      </c>
      <c r="F10" s="14">
        <f>SUMIFS('Sales report'!$E$8:$E$35,'Sales report'!$D$8:$D$35,B10,'Sales report'!$F$8:$F$35,F6)</f>
        <v>70</v>
      </c>
      <c r="G10" s="14">
        <f>SUMIFS('Sales report'!$E$8:$E$35,'Sales report'!$D$8:$D$35,B10,'Sales report'!$F$8:$F$35,G6)</f>
        <v>25</v>
      </c>
      <c r="H10" s="15">
        <f>SUM(C10:G10)</f>
        <v>185</v>
      </c>
      <c r="I10" s="1"/>
    </row>
    <row r="11" ht="15.15" spans="1:9">
      <c r="A11" s="1"/>
      <c r="B11" s="14" t="s">
        <v>15</v>
      </c>
      <c r="C11" s="14">
        <f>SUMIFS('Sales report'!$E$8:$E$35,'Sales report'!$D$8:$D$35,B11,'Sales report'!$F$8:$F$35,C6)</f>
        <v>0</v>
      </c>
      <c r="D11" s="14">
        <f>SUMIFS('Sales report'!$E$8:$E$35,'Sales report'!$D$8:$D$35,B11,'Sales report'!$F$8:$F$35,D6)</f>
        <v>60</v>
      </c>
      <c r="E11" s="14">
        <f>SUMIFS('Sales report'!$E$8:$E$35,'Sales report'!$D$8:$D$35,B11,'Sales report'!$F$8:$F$35,E6)</f>
        <v>0</v>
      </c>
      <c r="F11" s="14">
        <f>SUMIFS('Sales report'!$E$8:$E$35,'Sales report'!$D$8:$D$35,B11,'Sales report'!$F$8:$F$35,F6)</f>
        <v>200</v>
      </c>
      <c r="G11" s="14">
        <f>SUMIFS('Sales report'!$E$8:$E$35,'Sales report'!$D$8:$D$35,B11,'Sales report'!$F$8:$F$35,G6)</f>
        <v>0</v>
      </c>
      <c r="H11" s="15">
        <f>SUM(C11:G11)</f>
        <v>260</v>
      </c>
      <c r="I11" s="1"/>
    </row>
    <row r="12" ht="18.15" spans="1:9">
      <c r="A12" s="1"/>
      <c r="B12" s="16" t="s">
        <v>27</v>
      </c>
      <c r="C12" s="16">
        <f t="shared" ref="C12:G12" si="0">SUM(C7:C11)</f>
        <v>155</v>
      </c>
      <c r="D12" s="16">
        <f t="shared" si="0"/>
        <v>205</v>
      </c>
      <c r="E12" s="16">
        <f t="shared" si="0"/>
        <v>180</v>
      </c>
      <c r="F12" s="16">
        <f t="shared" si="0"/>
        <v>360</v>
      </c>
      <c r="G12" s="16">
        <f t="shared" si="0"/>
        <v>225</v>
      </c>
      <c r="H12" s="15">
        <f>SUM(C12:G12)</f>
        <v>1125</v>
      </c>
      <c r="I12" s="1"/>
    </row>
    <row r="13" ht="25.35" spans="1:9">
      <c r="A13" s="1"/>
      <c r="B13" s="17" t="s">
        <v>28</v>
      </c>
      <c r="C13" s="17"/>
      <c r="D13" s="17"/>
      <c r="E13" s="17"/>
      <c r="F13" s="17"/>
      <c r="G13" s="17"/>
      <c r="H13" s="17"/>
      <c r="I13" s="1"/>
    </row>
    <row r="14" ht="19.35" spans="1:9">
      <c r="A14" s="1"/>
      <c r="B14" s="12" t="s">
        <v>3</v>
      </c>
      <c r="C14" s="12" t="s">
        <v>14</v>
      </c>
      <c r="D14" s="12" t="s">
        <v>13</v>
      </c>
      <c r="E14" s="12" t="s">
        <v>29</v>
      </c>
      <c r="F14" s="12" t="s">
        <v>20</v>
      </c>
      <c r="G14" s="12" t="s">
        <v>21</v>
      </c>
      <c r="H14" s="13" t="s">
        <v>8</v>
      </c>
      <c r="I14" s="1"/>
    </row>
    <row r="15" spans="1:9">
      <c r="A15" s="1"/>
      <c r="B15" s="14" t="s">
        <v>12</v>
      </c>
      <c r="C15" s="14">
        <f>SUMIFS('Sales report'!$K$8:$K$35,'Sales report'!$D$8:$D$35,B15,'Sales report'!$F$8:$F$35,C14)</f>
        <v>50</v>
      </c>
      <c r="D15" s="14">
        <f>SUMIFS('Sales report'!$K$8:$K$35,'Sales report'!$D$8:$D$35,B15,'Sales report'!$F$8:$F$35,D6)</f>
        <v>125</v>
      </c>
      <c r="E15" s="14">
        <f>SUMIFS('Sales report'!$K$8:$K$35,'Sales report'!$D$8:$D$35,B15,'Sales report'!$F$8:$F$35,E6)</f>
        <v>200</v>
      </c>
      <c r="F15" s="14">
        <f>SUMIFS('Sales report'!$K$8:$K$35,'Sales report'!$D$8:$D$35,B15,'Sales report'!$F$8:$F$35,F6)</f>
        <v>0</v>
      </c>
      <c r="G15" s="14">
        <f>SUMIFS('Sales report'!$K$8:$K$35,'Sales report'!$D$8:$D$35,B15,'Sales report'!$F$8:$F$35,G6)</f>
        <v>250</v>
      </c>
      <c r="H15" s="15">
        <f>SUM(C15:G15)</f>
        <v>625</v>
      </c>
      <c r="I15" s="1"/>
    </row>
    <row r="16" spans="1:9">
      <c r="A16" s="1"/>
      <c r="B16" s="14" t="s">
        <v>16</v>
      </c>
      <c r="C16" s="14">
        <f>SUMIFS('Sales report'!$K$8:$K$35,'Sales report'!$D$8:$D$35,B16,'Sales report'!$F$8:$F$35,C14)</f>
        <v>100</v>
      </c>
      <c r="D16" s="14">
        <f>SUMIFS('Sales report'!$K$8:$K$35,'Sales report'!$D$8:$D$35,B16,'Sales report'!$F$8:$F$35,D6)</f>
        <v>300</v>
      </c>
      <c r="E16" s="14">
        <f>SUMIFS('Sales report'!$K$8:$K$35,'Sales report'!$D$8:$D$35,B16,'Sales report'!$F$8:$F$35,E6)</f>
        <v>575</v>
      </c>
      <c r="F16" s="14">
        <f>SUMIFS('Sales report'!$K$8:$K$35,'Sales report'!$D$8:$D$35,B16,'Sales report'!$F$8:$F$35,F6)</f>
        <v>250</v>
      </c>
      <c r="G16" s="14">
        <f>SUMIFS('Sales report'!$K$8:$K$35,'Sales report'!$D$8:$D$35,B16,'Sales report'!$F$8:$F$35,G6)</f>
        <v>250</v>
      </c>
      <c r="H16" s="15">
        <f>SUM(C16:G16)</f>
        <v>1475</v>
      </c>
      <c r="I16" s="1"/>
    </row>
    <row r="17" spans="1:9">
      <c r="A17" s="1"/>
      <c r="B17" s="14" t="s">
        <v>18</v>
      </c>
      <c r="C17" s="14">
        <f>SUMIFS('Sales report'!$K$8:$K$35,'Sales report'!$D$8:$D$35,B17,'Sales report'!$F$8:$F$35,C14)</f>
        <v>640</v>
      </c>
      <c r="D17" s="14">
        <f>SUMIFS('Sales report'!$K$8:$K$35,'Sales report'!$D$8:$D$35,B17,'Sales report'!$F$8:$F$35,D6)</f>
        <v>320</v>
      </c>
      <c r="E17" s="14">
        <f>SUMIFS('Sales report'!$K$8:$K$35,'Sales report'!$D$8:$D$35,B17,'Sales report'!$F$8:$F$35,E6)</f>
        <v>0</v>
      </c>
      <c r="F17" s="14">
        <f>SUMIFS('Sales report'!$K$8:$K$35,'Sales report'!$D$8:$D$35,B17,'Sales report'!$F$8:$F$35,F6)</f>
        <v>320</v>
      </c>
      <c r="G17" s="14">
        <f>SUMIFS('Sales report'!$K$8:$K$35,'Sales report'!$D$8:$D$35,B17,'Sales report'!$F$8:$F$35,G6)</f>
        <v>800</v>
      </c>
      <c r="H17" s="15">
        <f>SUM(C17:G17)</f>
        <v>2080</v>
      </c>
      <c r="I17" s="1"/>
    </row>
    <row r="18" spans="1:9">
      <c r="A18" s="1"/>
      <c r="B18" s="14" t="s">
        <v>19</v>
      </c>
      <c r="C18" s="14">
        <f>SUMIFS('Sales report'!$K$8:$K$35,'Sales report'!$D$8:$D$35,B18,'Sales report'!$F$8:$F$35,C14)</f>
        <v>450</v>
      </c>
      <c r="D18" s="14">
        <f>SUMIFS('Sales report'!$K$8:$K$35,'Sales report'!$D$8:$D$35,B18,'Sales report'!$F$8:$F$35,D6)</f>
        <v>200</v>
      </c>
      <c r="E18" s="14">
        <f>SUMIFS('Sales report'!$K$8:$K$35,'Sales report'!$D$8:$D$35,B18,'Sales report'!$F$8:$F$35,E6)</f>
        <v>250</v>
      </c>
      <c r="F18" s="14">
        <f>SUMIFS('Sales report'!$K$8:$K$35,'Sales report'!$D$8:$D$35,B18,'Sales report'!$F$8:$F$35,F6)</f>
        <v>700</v>
      </c>
      <c r="G18" s="14">
        <f>SUMIFS('Sales report'!$K$8:$K$35,'Sales report'!$D$8:$D$35,B18,'Sales report'!$F$8:$F$35,G6)</f>
        <v>250</v>
      </c>
      <c r="H18" s="15">
        <f>SUM(C18:G18)</f>
        <v>1850</v>
      </c>
      <c r="I18" s="1"/>
    </row>
    <row r="19" spans="1:9">
      <c r="A19" s="1"/>
      <c r="B19" s="14" t="s">
        <v>15</v>
      </c>
      <c r="C19" s="14">
        <f>SUMIFS('Sales report'!$K$8:$K$35,'Sales report'!$D$8:$D$35,B19,'Sales report'!$F$8:$F$35,C14)</f>
        <v>0</v>
      </c>
      <c r="D19" s="14">
        <f>SUMIFS('Sales report'!$K$8:$K$35,'Sales report'!$D$8:$D$35,B19,'Sales report'!$F$8:$F$35,D6)</f>
        <v>120</v>
      </c>
      <c r="E19" s="14">
        <f>SUMIFS('Sales report'!$K$8:$K$35,'Sales report'!$D$8:$D$35,B19,'Sales report'!$F$8:$F$35,E6)</f>
        <v>0</v>
      </c>
      <c r="F19" s="14">
        <f>SUMIFS('Sales report'!$K$8:$K$35,'Sales report'!$D$8:$D$35,B19,'Sales report'!$F$8:$F$35,F6)</f>
        <v>400</v>
      </c>
      <c r="G19" s="14">
        <f>SUMIFS('Sales report'!$K$8:$K$35,'Sales report'!$D$8:$D$35,B19,'Sales report'!$F$8:$F$35,G6)</f>
        <v>0</v>
      </c>
      <c r="H19" s="15">
        <f>SUM(C19:G19)</f>
        <v>520</v>
      </c>
      <c r="I19" s="1"/>
    </row>
    <row r="20" spans="1:9">
      <c r="A20" s="18"/>
      <c r="B20" s="19"/>
      <c r="C20" s="20"/>
      <c r="D20" s="20"/>
      <c r="E20" s="20"/>
      <c r="F20" s="20"/>
      <c r="G20" s="20"/>
      <c r="H20" s="21"/>
      <c r="I20" s="1"/>
    </row>
    <row r="21" spans="1:9">
      <c r="A21" s="18"/>
      <c r="B21" s="22"/>
      <c r="C21" s="23"/>
      <c r="D21" s="23"/>
      <c r="E21" s="23"/>
      <c r="F21" s="23"/>
      <c r="G21" s="23"/>
      <c r="H21" s="24"/>
      <c r="I21" s="1"/>
    </row>
    <row r="22" spans="1:9">
      <c r="A22" s="18"/>
      <c r="B22" s="25"/>
      <c r="C22" s="26"/>
      <c r="D22" s="26"/>
      <c r="E22" s="26"/>
      <c r="F22" s="26"/>
      <c r="G22" s="26"/>
      <c r="H22" s="27"/>
      <c r="I22" s="1"/>
    </row>
    <row r="23" spans="1:9">
      <c r="A23" s="18"/>
      <c r="B23" s="25"/>
      <c r="C23" s="26"/>
      <c r="D23" s="26"/>
      <c r="E23" s="26"/>
      <c r="F23" s="26"/>
      <c r="G23" s="26"/>
      <c r="H23" s="27"/>
      <c r="I23" s="1"/>
    </row>
    <row r="24" spans="1:9">
      <c r="A24" s="18"/>
      <c r="B24" s="25"/>
      <c r="C24" s="26"/>
      <c r="D24" s="26"/>
      <c r="E24" s="26"/>
      <c r="F24" s="26"/>
      <c r="G24" s="26"/>
      <c r="H24" s="27"/>
      <c r="I24" s="1"/>
    </row>
    <row r="25" spans="1:9">
      <c r="A25" s="18"/>
      <c r="B25" s="25"/>
      <c r="C25" s="26"/>
      <c r="D25" s="26"/>
      <c r="E25" s="26"/>
      <c r="F25" s="26"/>
      <c r="G25" s="26"/>
      <c r="H25" s="27"/>
      <c r="I25" s="1"/>
    </row>
    <row r="26" spans="1:9">
      <c r="A26" s="18"/>
      <c r="B26" s="25"/>
      <c r="C26" s="26"/>
      <c r="D26" s="26"/>
      <c r="E26" s="26"/>
      <c r="F26" s="26"/>
      <c r="G26" s="26"/>
      <c r="H26" s="27"/>
      <c r="I26" s="1"/>
    </row>
    <row r="27" spans="1:9">
      <c r="A27" s="18"/>
      <c r="B27" s="25"/>
      <c r="C27" s="26"/>
      <c r="D27" s="26"/>
      <c r="E27" s="26"/>
      <c r="F27" s="26"/>
      <c r="G27" s="26"/>
      <c r="H27" s="27"/>
      <c r="I27" s="1"/>
    </row>
    <row r="28" spans="1:9">
      <c r="A28" s="18"/>
      <c r="B28" s="25"/>
      <c r="C28" s="26"/>
      <c r="D28" s="26"/>
      <c r="E28" s="26"/>
      <c r="F28" s="26"/>
      <c r="G28" s="26"/>
      <c r="H28" s="27"/>
      <c r="I28" s="1"/>
    </row>
    <row r="29" spans="1:9">
      <c r="A29" s="18"/>
      <c r="B29" s="25"/>
      <c r="C29" s="26"/>
      <c r="D29" s="26"/>
      <c r="E29" s="26"/>
      <c r="F29" s="26"/>
      <c r="G29" s="26"/>
      <c r="H29" s="27"/>
      <c r="I29" s="1"/>
    </row>
    <row r="30" spans="1:9">
      <c r="A30" s="18"/>
      <c r="B30" s="25"/>
      <c r="C30" s="26"/>
      <c r="D30" s="26"/>
      <c r="E30" s="26"/>
      <c r="F30" s="26"/>
      <c r="G30" s="26"/>
      <c r="H30" s="27"/>
      <c r="I30" s="1"/>
    </row>
    <row r="31" spans="1:9">
      <c r="A31" s="18"/>
      <c r="B31" s="25"/>
      <c r="C31" s="26"/>
      <c r="D31" s="26"/>
      <c r="E31" s="26"/>
      <c r="F31" s="26"/>
      <c r="G31" s="26"/>
      <c r="H31" s="27"/>
      <c r="I31" s="1"/>
    </row>
    <row r="32" spans="1:9">
      <c r="A32" s="18"/>
      <c r="B32" s="25"/>
      <c r="C32" s="26"/>
      <c r="D32" s="26"/>
      <c r="E32" s="26"/>
      <c r="F32" s="26"/>
      <c r="G32" s="26"/>
      <c r="H32" s="27"/>
      <c r="I32" s="1"/>
    </row>
    <row r="33" spans="1:9">
      <c r="A33" s="18"/>
      <c r="B33" s="25"/>
      <c r="C33" s="26"/>
      <c r="D33" s="26"/>
      <c r="E33" s="26"/>
      <c r="F33" s="26"/>
      <c r="G33" s="26"/>
      <c r="H33" s="27"/>
      <c r="I33" s="1"/>
    </row>
    <row r="34" ht="15.15" spans="1:9">
      <c r="A34" s="18"/>
      <c r="B34" s="28"/>
      <c r="C34" s="29"/>
      <c r="D34" s="29"/>
      <c r="E34" s="29"/>
      <c r="F34" s="29"/>
      <c r="G34" s="29"/>
      <c r="H34" s="30"/>
      <c r="I34" s="1"/>
    </row>
    <row r="35" spans="1:9">
      <c r="A35" s="18"/>
      <c r="B35" s="26"/>
      <c r="C35" s="26"/>
      <c r="D35" s="26"/>
      <c r="E35" s="26"/>
      <c r="F35" s="26"/>
      <c r="G35" s="26"/>
      <c r="H35" s="26"/>
      <c r="I35" s="1"/>
    </row>
    <row r="36" spans="1:9">
      <c r="A36" s="18"/>
      <c r="B36" s="31"/>
      <c r="C36" s="31"/>
      <c r="D36" s="31"/>
      <c r="E36" s="31"/>
      <c r="F36" s="31"/>
      <c r="G36" s="31"/>
      <c r="H36" s="31"/>
      <c r="I36" s="1"/>
    </row>
    <row r="37" spans="1:9">
      <c r="A37" s="18"/>
      <c r="B37" s="31"/>
      <c r="C37" s="31"/>
      <c r="D37" s="31"/>
      <c r="E37" s="31"/>
      <c r="F37" s="31"/>
      <c r="G37" s="31"/>
      <c r="H37" s="31"/>
      <c r="I37" s="1"/>
    </row>
    <row r="38" spans="1:9">
      <c r="A38" s="18"/>
      <c r="B38" s="31"/>
      <c r="C38" s="31"/>
      <c r="D38" s="31"/>
      <c r="E38" s="31"/>
      <c r="F38" s="31"/>
      <c r="G38" s="31"/>
      <c r="H38" s="31"/>
      <c r="I38" s="1"/>
    </row>
    <row r="39" spans="1:9">
      <c r="A39" s="18"/>
      <c r="B39" s="31"/>
      <c r="C39" s="31"/>
      <c r="D39" s="31"/>
      <c r="E39" s="31"/>
      <c r="F39" s="31"/>
      <c r="G39" s="31"/>
      <c r="H39" s="31"/>
      <c r="I39" s="1"/>
    </row>
    <row r="40" spans="1:9">
      <c r="A40" s="18"/>
      <c r="B40" s="31"/>
      <c r="C40" s="31"/>
      <c r="D40" s="31"/>
      <c r="E40" s="31"/>
      <c r="F40" s="31"/>
      <c r="G40" s="31"/>
      <c r="H40" s="31"/>
      <c r="I40" s="1"/>
    </row>
    <row r="41" spans="1:9">
      <c r="A41" s="18"/>
      <c r="B41" s="31"/>
      <c r="C41" s="31"/>
      <c r="D41" s="31"/>
      <c r="E41" s="31"/>
      <c r="F41" s="31"/>
      <c r="G41" s="31"/>
      <c r="H41" s="31"/>
      <c r="I41" s="1"/>
    </row>
    <row r="42" spans="1:9">
      <c r="A42" s="18"/>
      <c r="B42" s="31"/>
      <c r="C42" s="31"/>
      <c r="D42" s="31"/>
      <c r="E42" s="31"/>
      <c r="F42" s="31"/>
      <c r="G42" s="31"/>
      <c r="H42" s="31"/>
      <c r="I42" s="1"/>
    </row>
    <row r="43" spans="1:9">
      <c r="A43" s="18"/>
      <c r="B43" s="31"/>
      <c r="C43" s="31"/>
      <c r="D43" s="31"/>
      <c r="E43" s="31"/>
      <c r="F43" s="31"/>
      <c r="G43" s="31"/>
      <c r="H43" s="31"/>
      <c r="I43" s="1"/>
    </row>
    <row r="44" s="1" customFormat="1" spans="1:30">
      <c r="A44" s="18"/>
      <c r="B44" s="31"/>
      <c r="C44" s="31"/>
      <c r="D44" s="31"/>
      <c r="E44" s="31"/>
      <c r="F44" s="31"/>
      <c r="G44" s="31"/>
      <c r="H44" s="31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9">
      <c r="A45" s="18"/>
      <c r="B45" s="31"/>
      <c r="C45" s="31"/>
      <c r="D45" s="31"/>
      <c r="E45" s="31"/>
      <c r="F45" s="31"/>
      <c r="G45" s="31"/>
      <c r="H45" s="31"/>
      <c r="I45" s="1"/>
    </row>
    <row r="46" spans="1:9">
      <c r="A46" s="18"/>
      <c r="B46" s="31"/>
      <c r="C46" s="31"/>
      <c r="D46" s="31"/>
      <c r="E46" s="31"/>
      <c r="F46" s="31"/>
      <c r="G46" s="31"/>
      <c r="H46" s="31"/>
      <c r="I46" s="1"/>
    </row>
    <row r="47" spans="1:9">
      <c r="A47" s="18"/>
      <c r="B47" s="31"/>
      <c r="C47" s="31"/>
      <c r="D47" s="31"/>
      <c r="E47" s="31"/>
      <c r="F47" s="31"/>
      <c r="G47" s="31"/>
      <c r="H47" s="31"/>
      <c r="I47" s="1"/>
    </row>
    <row r="48" spans="1:9">
      <c r="A48" s="18"/>
      <c r="B48" s="31"/>
      <c r="C48" s="31"/>
      <c r="D48" s="31"/>
      <c r="E48" s="31"/>
      <c r="F48" s="31"/>
      <c r="G48" s="31"/>
      <c r="H48" s="31"/>
      <c r="I48" s="1"/>
    </row>
    <row r="49" spans="1:9">
      <c r="A49" s="18"/>
      <c r="B49" s="31"/>
      <c r="C49" s="31"/>
      <c r="D49" s="31"/>
      <c r="E49" s="31"/>
      <c r="F49" s="31"/>
      <c r="G49" s="31"/>
      <c r="H49" s="31"/>
      <c r="I49" s="1"/>
    </row>
    <row r="50" spans="1:9">
      <c r="A50" s="18"/>
      <c r="B50" s="31"/>
      <c r="C50" s="31"/>
      <c r="D50" s="31"/>
      <c r="E50" s="31"/>
      <c r="F50" s="31"/>
      <c r="G50" s="31"/>
      <c r="H50" s="31"/>
      <c r="I50" s="1"/>
    </row>
    <row r="51" spans="1:9">
      <c r="A51" s="18"/>
      <c r="B51" s="31"/>
      <c r="C51" s="31"/>
      <c r="D51" s="31"/>
      <c r="E51" s="31"/>
      <c r="F51" s="31"/>
      <c r="G51" s="31"/>
      <c r="H51" s="31"/>
      <c r="I51" s="1"/>
    </row>
    <row r="52" spans="1:9">
      <c r="A52" s="18"/>
      <c r="B52" s="31"/>
      <c r="C52" s="31"/>
      <c r="D52" s="31"/>
      <c r="E52" s="31"/>
      <c r="F52" s="31"/>
      <c r="G52" s="31"/>
      <c r="H52" s="31"/>
      <c r="I52" s="1"/>
    </row>
    <row r="53" ht="9.75" customHeight="1" spans="1:9">
      <c r="A53" s="18"/>
      <c r="B53" s="31"/>
      <c r="C53" s="31"/>
      <c r="D53" s="31"/>
      <c r="E53" s="31"/>
      <c r="F53" s="31"/>
      <c r="G53" s="31"/>
      <c r="H53" s="31"/>
      <c r="I53" s="1"/>
    </row>
    <row r="54" spans="1:9">
      <c r="A54" s="18"/>
      <c r="B54" s="31"/>
      <c r="C54" s="31"/>
      <c r="D54" s="31"/>
      <c r="E54" s="31"/>
      <c r="F54" s="31"/>
      <c r="G54" s="31"/>
      <c r="H54" s="31"/>
      <c r="I54" s="1"/>
    </row>
    <row r="55" spans="1:9">
      <c r="A55" s="18"/>
      <c r="B55" s="31"/>
      <c r="C55" s="31"/>
      <c r="D55" s="31"/>
      <c r="E55" s="31"/>
      <c r="F55" s="31"/>
      <c r="G55" s="31"/>
      <c r="H55" s="31"/>
      <c r="I55" s="1"/>
    </row>
    <row r="56" spans="1:9">
      <c r="A56" s="18"/>
      <c r="B56" s="31"/>
      <c r="C56" s="31"/>
      <c r="D56" s="31"/>
      <c r="E56" s="31"/>
      <c r="F56" s="31"/>
      <c r="G56" s="31"/>
      <c r="H56" s="31"/>
      <c r="I56" s="1"/>
    </row>
    <row r="57" spans="1:9">
      <c r="A57" s="18"/>
      <c r="B57" s="31"/>
      <c r="C57" s="31"/>
      <c r="D57" s="31"/>
      <c r="E57" s="31"/>
      <c r="F57" s="31"/>
      <c r="G57" s="31"/>
      <c r="H57" s="31"/>
      <c r="I57" s="1"/>
    </row>
    <row r="58" spans="1:9">
      <c r="A58" s="18"/>
      <c r="B58" s="31"/>
      <c r="C58" s="31"/>
      <c r="D58" s="31"/>
      <c r="E58" s="31"/>
      <c r="F58" s="31"/>
      <c r="G58" s="31"/>
      <c r="H58" s="31"/>
      <c r="I58" s="1"/>
    </row>
    <row r="59" spans="1:9">
      <c r="A59" s="18"/>
      <c r="B59" s="31"/>
      <c r="C59" s="31"/>
      <c r="D59" s="31"/>
      <c r="E59" s="31"/>
      <c r="F59" s="31"/>
      <c r="G59" s="31"/>
      <c r="H59" s="31"/>
      <c r="I59" s="1"/>
    </row>
    <row r="60" spans="1:9">
      <c r="A60" s="18"/>
      <c r="B60" s="31"/>
      <c r="C60" s="31"/>
      <c r="D60" s="31"/>
      <c r="E60" s="31"/>
      <c r="F60" s="31"/>
      <c r="G60" s="31"/>
      <c r="H60" s="31"/>
      <c r="I60" s="1"/>
    </row>
    <row r="61" spans="1:9">
      <c r="A61" s="18"/>
      <c r="B61" s="31"/>
      <c r="C61" s="31"/>
      <c r="D61" s="31"/>
      <c r="E61" s="31"/>
      <c r="F61" s="31"/>
      <c r="G61" s="31"/>
      <c r="H61" s="31"/>
      <c r="I61" s="1"/>
    </row>
    <row r="62" spans="1:9">
      <c r="A62" s="18"/>
      <c r="B62" s="31"/>
      <c r="C62" s="31"/>
      <c r="D62" s="31"/>
      <c r="E62" s="31"/>
      <c r="F62" s="31"/>
      <c r="G62" s="31"/>
      <c r="H62" s="31"/>
      <c r="I62" s="1"/>
    </row>
    <row r="63" spans="1:9">
      <c r="A63" s="18"/>
      <c r="B63" s="31"/>
      <c r="C63" s="31"/>
      <c r="D63" s="31"/>
      <c r="E63" s="31"/>
      <c r="F63" s="31"/>
      <c r="G63" s="31"/>
      <c r="H63" s="31"/>
      <c r="I63" s="1"/>
    </row>
    <row r="64" spans="1:9">
      <c r="A64" s="18"/>
      <c r="B64" s="31"/>
      <c r="C64" s="31"/>
      <c r="D64" s="31"/>
      <c r="E64" s="31"/>
      <c r="F64" s="31"/>
      <c r="G64" s="31"/>
      <c r="H64" s="31"/>
      <c r="I64" s="1"/>
    </row>
    <row r="65" spans="1:9">
      <c r="A65" s="18"/>
      <c r="B65" s="31"/>
      <c r="C65" s="31"/>
      <c r="D65" s="31"/>
      <c r="E65" s="31"/>
      <c r="F65" s="31"/>
      <c r="G65" s="31"/>
      <c r="H65" s="31"/>
      <c r="I65" s="1"/>
    </row>
    <row r="66" ht="15.75" customHeight="1" spans="1:9">
      <c r="A66" s="18"/>
      <c r="B66" s="31"/>
      <c r="C66" s="31"/>
      <c r="D66" s="31"/>
      <c r="E66" s="31"/>
      <c r="F66" s="31"/>
      <c r="G66" s="31"/>
      <c r="H66" s="31"/>
      <c r="I66" s="1"/>
    </row>
    <row r="67" ht="5.25" customHeight="1" spans="1:9">
      <c r="A67" s="18"/>
      <c r="B67" s="31"/>
      <c r="C67" s="31"/>
      <c r="D67" s="31"/>
      <c r="E67" s="31"/>
      <c r="F67" s="31"/>
      <c r="G67" s="31"/>
      <c r="H67" s="31"/>
      <c r="I67" s="1"/>
    </row>
    <row r="68" s="1" customFormat="1" spans="1:45">
      <c r="A68" s="18"/>
      <c r="B68" s="31"/>
      <c r="C68" s="31"/>
      <c r="D68" s="31"/>
      <c r="E68" s="31"/>
      <c r="F68" s="31"/>
      <c r="G68" s="31"/>
      <c r="H68" s="31"/>
      <c r="I68" s="1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 spans="1:45">
      <c r="A69" s="18"/>
      <c r="B69" s="31"/>
      <c r="C69" s="31"/>
      <c r="D69" s="31"/>
      <c r="E69" s="31"/>
      <c r="F69" s="31"/>
      <c r="G69" s="31"/>
      <c r="H69" s="31"/>
      <c r="I69" s="1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 spans="1:45">
      <c r="A70" s="18"/>
      <c r="B70" s="31"/>
      <c r="C70" s="31"/>
      <c r="D70" s="31"/>
      <c r="E70" s="31"/>
      <c r="F70" s="31"/>
      <c r="G70" s="31"/>
      <c r="H70" s="31"/>
      <c r="I70" s="1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 spans="1:45">
      <c r="A71" s="18"/>
      <c r="B71" s="31"/>
      <c r="C71" s="31"/>
      <c r="D71" s="31"/>
      <c r="E71" s="31"/>
      <c r="F71" s="31"/>
      <c r="G71" s="31"/>
      <c r="H71" s="31"/>
      <c r="I71" s="1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 spans="1:45">
      <c r="A72" s="18"/>
      <c r="B72" s="31"/>
      <c r="C72" s="31"/>
      <c r="D72" s="31"/>
      <c r="E72" s="31"/>
      <c r="F72" s="31"/>
      <c r="G72" s="31"/>
      <c r="H72" s="31"/>
      <c r="I72" s="1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 spans="1:45">
      <c r="A73" s="18"/>
      <c r="B73" s="31"/>
      <c r="C73" s="31"/>
      <c r="D73" s="31"/>
      <c r="E73" s="31"/>
      <c r="F73" s="31"/>
      <c r="G73" s="31"/>
      <c r="H73" s="31"/>
      <c r="I73" s="1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 spans="1:45">
      <c r="A74" s="18"/>
      <c r="B74" s="31"/>
      <c r="C74" s="31"/>
      <c r="D74" s="31"/>
      <c r="E74" s="31"/>
      <c r="F74" s="31"/>
      <c r="G74" s="31"/>
      <c r="H74" s="31"/>
      <c r="I74" s="1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 spans="1:45">
      <c r="A75" s="18"/>
      <c r="B75" s="31"/>
      <c r="C75" s="31"/>
      <c r="D75" s="31"/>
      <c r="E75" s="31"/>
      <c r="F75" s="31"/>
      <c r="G75" s="31"/>
      <c r="H75" s="31"/>
      <c r="I75" s="1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 spans="1:45">
      <c r="A76" s="18"/>
      <c r="B76" s="31"/>
      <c r="C76" s="31"/>
      <c r="D76" s="31"/>
      <c r="E76" s="31"/>
      <c r="F76" s="31"/>
      <c r="G76" s="31"/>
      <c r="H76" s="31"/>
      <c r="I76" s="1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 ht="6" customHeight="1" spans="1:45">
      <c r="A77" s="18"/>
      <c r="B77" s="31"/>
      <c r="C77" s="31"/>
      <c r="D77" s="31"/>
      <c r="E77" s="31"/>
      <c r="F77" s="31"/>
      <c r="G77" s="31"/>
      <c r="H77" s="31"/>
      <c r="I77" s="1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 s="1" customFormat="1" spans="1:45">
      <c r="A78" s="18"/>
      <c r="B78" s="31"/>
      <c r="C78" s="31"/>
      <c r="D78" s="31"/>
      <c r="E78" s="31"/>
      <c r="F78" s="31"/>
      <c r="G78" s="31"/>
      <c r="H78" s="31"/>
      <c r="I78" s="1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 spans="1:9">
      <c r="A79" s="18"/>
      <c r="B79" s="31"/>
      <c r="C79" s="31"/>
      <c r="D79" s="31"/>
      <c r="E79" s="31"/>
      <c r="F79" s="31"/>
      <c r="G79" s="31"/>
      <c r="H79" s="31"/>
      <c r="I79" s="18"/>
    </row>
    <row r="80" spans="1:9">
      <c r="A80" s="18"/>
      <c r="B80" s="31"/>
      <c r="C80" s="31"/>
      <c r="D80" s="31"/>
      <c r="E80" s="31"/>
      <c r="F80" s="31"/>
      <c r="G80" s="31"/>
      <c r="H80" s="31"/>
      <c r="I80" s="1"/>
    </row>
    <row r="81" spans="1:9">
      <c r="A81" s="18"/>
      <c r="B81" s="31"/>
      <c r="C81" s="31"/>
      <c r="D81" s="31"/>
      <c r="E81" s="31"/>
      <c r="F81" s="31"/>
      <c r="G81" s="31"/>
      <c r="H81" s="31"/>
      <c r="I81" s="1"/>
    </row>
    <row r="82" spans="1:9">
      <c r="A82" s="18"/>
      <c r="B82" s="31"/>
      <c r="C82" s="31"/>
      <c r="D82" s="31"/>
      <c r="E82" s="31"/>
      <c r="F82" s="31"/>
      <c r="G82" s="31"/>
      <c r="H82" s="31"/>
      <c r="I82" s="1"/>
    </row>
    <row r="83" spans="1:9">
      <c r="A83" s="18"/>
      <c r="B83" s="31"/>
      <c r="C83" s="31"/>
      <c r="D83" s="31"/>
      <c r="E83" s="31"/>
      <c r="F83" s="31"/>
      <c r="G83" s="31"/>
      <c r="H83" s="31"/>
      <c r="I83" s="1"/>
    </row>
    <row r="84" spans="1:9">
      <c r="A84" s="18"/>
      <c r="B84" s="31"/>
      <c r="C84" s="31"/>
      <c r="D84" s="31"/>
      <c r="E84" s="31"/>
      <c r="F84" s="31"/>
      <c r="G84" s="31"/>
      <c r="H84" s="31"/>
      <c r="I84" s="1"/>
    </row>
    <row r="85" spans="1:9">
      <c r="A85" s="18"/>
      <c r="B85" s="31"/>
      <c r="C85" s="31"/>
      <c r="D85" s="31"/>
      <c r="E85" s="31"/>
      <c r="F85" s="31"/>
      <c r="G85" s="31"/>
      <c r="H85" s="31"/>
      <c r="I85" s="1"/>
    </row>
    <row r="86" spans="1:9">
      <c r="A86" s="18"/>
      <c r="B86" s="31"/>
      <c r="C86" s="31"/>
      <c r="D86" s="31"/>
      <c r="E86" s="31"/>
      <c r="F86" s="31"/>
      <c r="G86" s="31"/>
      <c r="H86" s="31"/>
      <c r="I86" s="1"/>
    </row>
    <row r="87" spans="1:9">
      <c r="A87" s="18"/>
      <c r="B87" s="31"/>
      <c r="C87" s="31"/>
      <c r="D87" s="31"/>
      <c r="E87" s="31"/>
      <c r="F87" s="31"/>
      <c r="G87" s="31"/>
      <c r="H87" s="31"/>
      <c r="I87" s="1"/>
    </row>
    <row r="88" ht="10.5" customHeight="1" spans="1:9">
      <c r="A88" s="18"/>
      <c r="B88" s="31"/>
      <c r="C88" s="31"/>
      <c r="D88" s="31"/>
      <c r="E88" s="31"/>
      <c r="F88" s="31"/>
      <c r="G88" s="31"/>
      <c r="H88" s="31"/>
      <c r="I88" s="1"/>
    </row>
    <row r="89" spans="1:9">
      <c r="A89" s="18"/>
      <c r="B89" s="18"/>
      <c r="C89" s="18"/>
      <c r="D89" s="18"/>
      <c r="E89" s="18"/>
      <c r="F89" s="18"/>
      <c r="G89" s="18"/>
      <c r="H89" s="18"/>
      <c r="I89" s="18"/>
    </row>
    <row r="90" spans="9:9">
      <c r="I90" s="33"/>
    </row>
    <row r="91" spans="9:9">
      <c r="I91" s="33"/>
    </row>
    <row r="92" spans="9:9">
      <c r="I92" s="33"/>
    </row>
    <row r="93" spans="9:9">
      <c r="I93" s="33"/>
    </row>
    <row r="94" spans="9:9">
      <c r="I94" s="33"/>
    </row>
    <row r="95" spans="9:9">
      <c r="I95" s="33"/>
    </row>
    <row r="96" spans="9:9">
      <c r="I96" s="33"/>
    </row>
    <row r="97" spans="9:9">
      <c r="I97" s="33"/>
    </row>
    <row r="98" spans="9:9">
      <c r="I98" s="33"/>
    </row>
    <row r="99" spans="9:9">
      <c r="I99" s="33"/>
    </row>
    <row r="100" spans="9:9">
      <c r="I100" s="33"/>
    </row>
    <row r="101" spans="9:9">
      <c r="I101" s="33"/>
    </row>
    <row r="102" spans="9:9">
      <c r="I102" s="33"/>
    </row>
    <row r="103" spans="9:9">
      <c r="I103" s="33"/>
    </row>
    <row r="104" spans="9:9">
      <c r="I104" s="33"/>
    </row>
    <row r="105" spans="9:9">
      <c r="I105" s="33"/>
    </row>
    <row r="106" spans="9:9">
      <c r="I106" s="33"/>
    </row>
    <row r="107" spans="9:9">
      <c r="I107" s="33"/>
    </row>
    <row r="108" spans="9:9">
      <c r="I108" s="33"/>
    </row>
    <row r="109" spans="9:9">
      <c r="I109" s="33"/>
    </row>
    <row r="110" spans="9:9">
      <c r="I110" s="33"/>
    </row>
    <row r="111" spans="9:9">
      <c r="I111" s="33"/>
    </row>
    <row r="112" spans="9:9">
      <c r="I112" s="33"/>
    </row>
    <row r="113" spans="9:9">
      <c r="I113" s="33"/>
    </row>
    <row r="114" spans="9:9">
      <c r="I114" s="33"/>
    </row>
    <row r="115" spans="9:9">
      <c r="I115" s="33"/>
    </row>
    <row r="116" spans="9:9">
      <c r="I116" s="33"/>
    </row>
    <row r="117" spans="9:9">
      <c r="I117" s="33"/>
    </row>
    <row r="118" spans="9:9">
      <c r="I118" s="33"/>
    </row>
    <row r="119" spans="9:9">
      <c r="I119" s="33"/>
    </row>
    <row r="120" spans="9:9">
      <c r="I120" s="33"/>
    </row>
    <row r="121" spans="9:9">
      <c r="I121" s="33"/>
    </row>
    <row r="122" spans="9:9">
      <c r="I122" s="33"/>
    </row>
    <row r="123" spans="9:9">
      <c r="I123" s="33"/>
    </row>
    <row r="124" spans="9:9">
      <c r="I124" s="33"/>
    </row>
    <row r="125" spans="9:9">
      <c r="I125" s="33"/>
    </row>
    <row r="126" spans="9:9">
      <c r="I126" s="33"/>
    </row>
    <row r="127" spans="9:9">
      <c r="I127" s="33"/>
    </row>
    <row r="128" spans="9:9">
      <c r="I128" s="33"/>
    </row>
    <row r="129" spans="9:9">
      <c r="I129" s="33"/>
    </row>
    <row r="130" spans="9:9">
      <c r="I130" s="33"/>
    </row>
    <row r="131" spans="9:9">
      <c r="I131" s="33"/>
    </row>
    <row r="132" spans="9:9">
      <c r="I132" s="33"/>
    </row>
    <row r="133" spans="9:9">
      <c r="I133" s="33"/>
    </row>
    <row r="134" spans="9:9">
      <c r="I134" s="33"/>
    </row>
    <row r="135" spans="9:9">
      <c r="I135" s="33"/>
    </row>
    <row r="136" spans="9:9">
      <c r="I136" s="33"/>
    </row>
    <row r="137" spans="9:9">
      <c r="I137" s="33"/>
    </row>
    <row r="138" spans="9:9">
      <c r="I138" s="33"/>
    </row>
    <row r="139" spans="9:9">
      <c r="I139" s="33"/>
    </row>
    <row r="140" spans="9:9">
      <c r="I140" s="33"/>
    </row>
    <row r="141" spans="9:9">
      <c r="I141" s="33"/>
    </row>
    <row r="142" spans="9:9">
      <c r="I142" s="33"/>
    </row>
    <row r="143" spans="9:9">
      <c r="I143" s="33"/>
    </row>
    <row r="144" spans="9:9">
      <c r="I144" s="33"/>
    </row>
    <row r="145" spans="9:9">
      <c r="I145" s="33"/>
    </row>
    <row r="146" spans="9:9">
      <c r="I146" s="33"/>
    </row>
    <row r="147" spans="9:9">
      <c r="I147" s="33"/>
    </row>
    <row r="148" spans="9:9">
      <c r="I148" s="33"/>
    </row>
    <row r="149" spans="9:9">
      <c r="I149" s="33"/>
    </row>
    <row r="150" spans="9:9">
      <c r="I150" s="33"/>
    </row>
    <row r="151" spans="9:9">
      <c r="I151" s="33"/>
    </row>
    <row r="152" spans="9:9">
      <c r="I152" s="33"/>
    </row>
    <row r="153" spans="9:9">
      <c r="I153" s="33"/>
    </row>
    <row r="154" spans="9:9">
      <c r="I154" s="33"/>
    </row>
    <row r="155" spans="9:9">
      <c r="I155" s="33"/>
    </row>
    <row r="156" spans="9:9">
      <c r="I156" s="33"/>
    </row>
    <row r="157" spans="9:9">
      <c r="I157" s="33"/>
    </row>
    <row r="158" spans="9:9">
      <c r="I158" s="33"/>
    </row>
    <row r="159" spans="9:9">
      <c r="I159" s="33"/>
    </row>
    <row r="160" spans="9:9">
      <c r="I160" s="33"/>
    </row>
    <row r="161" spans="9:9">
      <c r="I161" s="33"/>
    </row>
    <row r="162" spans="9:9">
      <c r="I162" s="33"/>
    </row>
    <row r="163" spans="9:9">
      <c r="I163" s="33"/>
    </row>
    <row r="164" spans="9:9">
      <c r="I164" s="33"/>
    </row>
    <row r="165" spans="9:9">
      <c r="I165" s="33"/>
    </row>
    <row r="166" spans="9:9">
      <c r="I166" s="33"/>
    </row>
    <row r="167" spans="9:9">
      <c r="I167" s="33"/>
    </row>
    <row r="168" spans="9:9">
      <c r="I168" s="33"/>
    </row>
    <row r="169" spans="9:9">
      <c r="I169" s="33"/>
    </row>
    <row r="170" spans="9:9">
      <c r="I170" s="33"/>
    </row>
    <row r="171" spans="9:9">
      <c r="I171" s="33"/>
    </row>
    <row r="172" spans="9:9">
      <c r="I172" s="33"/>
    </row>
    <row r="173" spans="9:9">
      <c r="I173" s="33"/>
    </row>
    <row r="174" spans="9:9">
      <c r="I174" s="33"/>
    </row>
    <row r="175" spans="9:9">
      <c r="I175" s="33"/>
    </row>
    <row r="176" spans="9:9">
      <c r="I176" s="33"/>
    </row>
    <row r="177" spans="9:9">
      <c r="I177" s="33"/>
    </row>
    <row r="178" spans="9:9">
      <c r="I178" s="33"/>
    </row>
    <row r="179" spans="9:9">
      <c r="I179" s="33"/>
    </row>
    <row r="180" spans="9:9">
      <c r="I180" s="33"/>
    </row>
    <row r="181" spans="9:9">
      <c r="I181" s="33"/>
    </row>
    <row r="182" spans="9:9">
      <c r="I182" s="33"/>
    </row>
    <row r="183" spans="9:9">
      <c r="I183" s="33"/>
    </row>
    <row r="184" spans="9:9">
      <c r="I184" s="33"/>
    </row>
    <row r="185" spans="9:9">
      <c r="I185" s="33"/>
    </row>
    <row r="186" spans="9:9">
      <c r="I186" s="33"/>
    </row>
    <row r="187" spans="9:9">
      <c r="I187" s="33"/>
    </row>
    <row r="188" spans="9:9">
      <c r="I188" s="33"/>
    </row>
    <row r="189" spans="9:9">
      <c r="I189" s="33"/>
    </row>
    <row r="190" spans="9:9">
      <c r="I190" s="33"/>
    </row>
    <row r="191" spans="9:9">
      <c r="I191" s="33"/>
    </row>
    <row r="192" spans="9:9">
      <c r="I192" s="33"/>
    </row>
    <row r="193" spans="9:9">
      <c r="I193" s="33"/>
    </row>
    <row r="194" spans="9:9">
      <c r="I194" s="33"/>
    </row>
    <row r="195" spans="9:9">
      <c r="I195" s="33"/>
    </row>
    <row r="196" spans="9:9">
      <c r="I196" s="33"/>
    </row>
    <row r="197" spans="9:9">
      <c r="I197" s="33"/>
    </row>
    <row r="198" spans="9:9">
      <c r="I198" s="33"/>
    </row>
    <row r="199" spans="9:9">
      <c r="I199" s="33"/>
    </row>
    <row r="200" spans="9:9">
      <c r="I200" s="33"/>
    </row>
    <row r="201" spans="9:9">
      <c r="I201" s="33"/>
    </row>
    <row r="202" spans="9:9">
      <c r="I202" s="33"/>
    </row>
    <row r="203" spans="9:9">
      <c r="I203" s="33"/>
    </row>
    <row r="204" spans="9:9">
      <c r="I204" s="33"/>
    </row>
    <row r="205" spans="9:9">
      <c r="I205" s="33"/>
    </row>
    <row r="206" spans="9:9">
      <c r="I206" s="33"/>
    </row>
    <row r="207" spans="9:9">
      <c r="I207" s="33"/>
    </row>
    <row r="208" spans="9:9">
      <c r="I208" s="33"/>
    </row>
    <row r="209" spans="9:9">
      <c r="I209" s="33"/>
    </row>
    <row r="210" spans="9:9">
      <c r="I210" s="33"/>
    </row>
    <row r="211" spans="9:9">
      <c r="I211" s="33"/>
    </row>
    <row r="212" spans="9:9">
      <c r="I212" s="33"/>
    </row>
    <row r="213" spans="9:9">
      <c r="I213" s="33"/>
    </row>
    <row r="214" spans="9:9">
      <c r="I214" s="33"/>
    </row>
    <row r="215" spans="9:9">
      <c r="I215" s="33"/>
    </row>
    <row r="216" spans="9:9">
      <c r="I216" s="33"/>
    </row>
    <row r="217" spans="9:9">
      <c r="I217" s="33"/>
    </row>
    <row r="218" spans="9:9">
      <c r="I218" s="33"/>
    </row>
    <row r="219" spans="9:9">
      <c r="I219" s="33"/>
    </row>
    <row r="220" spans="9:9">
      <c r="I220" s="33"/>
    </row>
    <row r="221" spans="9:9">
      <c r="I221" s="33"/>
    </row>
    <row r="222" spans="9:9">
      <c r="I222" s="33"/>
    </row>
    <row r="223" spans="9:9">
      <c r="I223" s="33"/>
    </row>
    <row r="224" spans="9:9">
      <c r="I224" s="33"/>
    </row>
    <row r="225" spans="9:9">
      <c r="I225" s="33"/>
    </row>
    <row r="226" spans="9:9">
      <c r="I226" s="33"/>
    </row>
    <row r="227" spans="9:9">
      <c r="I227" s="33"/>
    </row>
    <row r="228" spans="9:9">
      <c r="I228" s="33"/>
    </row>
    <row r="229" spans="9:9">
      <c r="I229" s="33"/>
    </row>
    <row r="230" spans="9:9">
      <c r="I230" s="33"/>
    </row>
    <row r="231" spans="9:9">
      <c r="I231" s="33"/>
    </row>
    <row r="232" spans="9:9">
      <c r="I232" s="33"/>
    </row>
    <row r="233" spans="9:9">
      <c r="I233" s="33"/>
    </row>
    <row r="234" spans="9:9">
      <c r="I234" s="33"/>
    </row>
    <row r="235" spans="9:9">
      <c r="I235" s="33"/>
    </row>
    <row r="236" spans="9:9">
      <c r="I236" s="33"/>
    </row>
    <row r="237" spans="9:9">
      <c r="I237" s="33"/>
    </row>
    <row r="238" spans="9:9">
      <c r="I238" s="33"/>
    </row>
    <row r="239" spans="9:9">
      <c r="I239" s="33"/>
    </row>
    <row r="240" spans="9:9">
      <c r="I240" s="33"/>
    </row>
    <row r="241" spans="9:9">
      <c r="I241" s="33"/>
    </row>
    <row r="242" spans="9:9">
      <c r="I242" s="33"/>
    </row>
    <row r="243" spans="9:9">
      <c r="I243" s="33"/>
    </row>
    <row r="244" spans="9:9">
      <c r="I244" s="33"/>
    </row>
    <row r="245" spans="9:9">
      <c r="I245" s="33"/>
    </row>
    <row r="246" spans="9:9">
      <c r="I246" s="33"/>
    </row>
    <row r="247" spans="9:9">
      <c r="I247" s="33"/>
    </row>
  </sheetData>
  <mergeCells count="6">
    <mergeCell ref="B2:G2"/>
    <mergeCell ref="B3:G3"/>
    <mergeCell ref="B4:H4"/>
    <mergeCell ref="B5:H5"/>
    <mergeCell ref="B13:H13"/>
    <mergeCell ref="H2:H3"/>
  </mergeCells>
  <pageMargins left="0.7" right="0.7" top="0.75" bottom="0.75" header="0.3" footer="0.3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Pushkaraj Pujari</cp:lastModifiedBy>
  <dcterms:created xsi:type="dcterms:W3CDTF">2015-06-05T18:17:00Z</dcterms:created>
  <dcterms:modified xsi:type="dcterms:W3CDTF">2026-04-30T08:17:08Z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F648210DB0A94454A83D4693D8C9F3D6_12</vt:lpwstr>
  </property>
  <property fmtid="{D5CDD505-2E9C-101B-9397-08002B2CF9AE}" pid="3" name="KSOProductBuildVer">
    <vt:lpwstr>1033-12.2.0.23196</vt:lpwstr>
  </property>
</Properties>
</file>